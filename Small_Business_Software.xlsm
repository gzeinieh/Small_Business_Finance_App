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eorge Zeinieh\Desktop\VBA Project\"/>
    </mc:Choice>
  </mc:AlternateContent>
  <bookViews>
    <workbookView xWindow="0" yWindow="0" windowWidth="16815" windowHeight="7755"/>
  </bookViews>
  <sheets>
    <sheet name="Main" sheetId="1" r:id="rId1"/>
    <sheet name="Vendors" sheetId="2" r:id="rId2"/>
    <sheet name="Customers" sheetId="3" r:id="rId3"/>
    <sheet name="Employees" sheetId="4" r:id="rId4"/>
    <sheet name="Inventory" sheetId="5" r:id="rId5"/>
    <sheet name="Balance Sheet &amp; Income Statment" sheetId="6" r:id="rId6"/>
    <sheet name="Purchase Order History " sheetId="7" r:id="rId7"/>
    <sheet name="Payroll History" sheetId="8" r:id="rId8"/>
    <sheet name="Invoice History" sheetId="9" r:id="rId9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8" l="1"/>
  <c r="M15" i="6" l="1"/>
  <c r="M13" i="6"/>
  <c r="M9" i="6"/>
  <c r="M6" i="6"/>
  <c r="I15" i="6"/>
  <c r="I9" i="6"/>
  <c r="I19" i="6" s="1"/>
  <c r="M18" i="6" s="1"/>
  <c r="M19" i="6" s="1"/>
  <c r="I8" i="6"/>
  <c r="N3" i="5"/>
  <c r="I7" i="6"/>
  <c r="E15" i="6"/>
  <c r="I3" i="9"/>
  <c r="E7" i="6" s="1"/>
  <c r="L3" i="5"/>
  <c r="I6" i="5"/>
  <c r="I3" i="5"/>
  <c r="J2" i="8"/>
  <c r="E14" i="6" s="1"/>
  <c r="E18" i="6" l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I5" i="5"/>
  <c r="I7" i="5"/>
  <c r="I8" i="5"/>
  <c r="I9" i="5"/>
  <c r="I4" i="5"/>
  <c r="G4" i="7"/>
  <c r="G5" i="7"/>
  <c r="G6" i="7"/>
  <c r="G7" i="7"/>
  <c r="G8" i="7"/>
  <c r="G9" i="7"/>
  <c r="I3" i="7" s="1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7" i="7"/>
  <c r="G588" i="7"/>
  <c r="G589" i="7"/>
  <c r="G590" i="7"/>
  <c r="G591" i="7"/>
  <c r="G592" i="7"/>
  <c r="G593" i="7"/>
  <c r="G594" i="7"/>
  <c r="G595" i="7"/>
  <c r="G596" i="7"/>
  <c r="G597" i="7"/>
  <c r="G598" i="7"/>
  <c r="G599" i="7"/>
  <c r="G600" i="7"/>
  <c r="G601" i="7"/>
  <c r="G602" i="7"/>
  <c r="G603" i="7"/>
  <c r="G604" i="7"/>
  <c r="G605" i="7"/>
  <c r="G606" i="7"/>
  <c r="G607" i="7"/>
  <c r="G608" i="7"/>
  <c r="G609" i="7"/>
  <c r="G610" i="7"/>
  <c r="G611" i="7"/>
  <c r="G612" i="7"/>
  <c r="G613" i="7"/>
  <c r="G614" i="7"/>
  <c r="G615" i="7"/>
  <c r="G616" i="7"/>
  <c r="G617" i="7"/>
  <c r="G618" i="7"/>
  <c r="G619" i="7"/>
  <c r="G620" i="7"/>
  <c r="G621" i="7"/>
  <c r="G622" i="7"/>
  <c r="G623" i="7"/>
  <c r="G624" i="7"/>
  <c r="G625" i="7"/>
  <c r="G626" i="7"/>
  <c r="G627" i="7"/>
  <c r="G628" i="7"/>
  <c r="G629" i="7"/>
  <c r="G630" i="7"/>
  <c r="G631" i="7"/>
  <c r="G632" i="7"/>
  <c r="G633" i="7"/>
  <c r="G634" i="7"/>
  <c r="G635" i="7"/>
  <c r="G636" i="7"/>
  <c r="G637" i="7"/>
  <c r="G638" i="7"/>
  <c r="G639" i="7"/>
  <c r="G640" i="7"/>
  <c r="G641" i="7"/>
  <c r="G642" i="7"/>
  <c r="G643" i="7"/>
  <c r="G644" i="7"/>
  <c r="G645" i="7"/>
  <c r="G646" i="7"/>
  <c r="G647" i="7"/>
  <c r="G648" i="7"/>
  <c r="G649" i="7"/>
  <c r="G650" i="7"/>
  <c r="G651" i="7"/>
  <c r="G652" i="7"/>
  <c r="G653" i="7"/>
  <c r="G654" i="7"/>
  <c r="G655" i="7"/>
  <c r="G656" i="7"/>
  <c r="G657" i="7"/>
  <c r="G658" i="7"/>
  <c r="G659" i="7"/>
  <c r="G660" i="7"/>
  <c r="G661" i="7"/>
  <c r="G662" i="7"/>
  <c r="G663" i="7"/>
  <c r="G664" i="7"/>
  <c r="G665" i="7"/>
  <c r="G666" i="7"/>
  <c r="G667" i="7"/>
  <c r="G668" i="7"/>
  <c r="G669" i="7"/>
  <c r="G670" i="7"/>
  <c r="G671" i="7"/>
  <c r="G672" i="7"/>
  <c r="G673" i="7"/>
  <c r="G674" i="7"/>
  <c r="G675" i="7"/>
  <c r="G676" i="7"/>
  <c r="G677" i="7"/>
  <c r="G678" i="7"/>
  <c r="G679" i="7"/>
  <c r="G680" i="7"/>
  <c r="G681" i="7"/>
  <c r="G682" i="7"/>
  <c r="G683" i="7"/>
  <c r="G684" i="7"/>
  <c r="G685" i="7"/>
  <c r="G686" i="7"/>
  <c r="G687" i="7"/>
  <c r="G688" i="7"/>
  <c r="G689" i="7"/>
  <c r="G690" i="7"/>
  <c r="G691" i="7"/>
  <c r="G692" i="7"/>
  <c r="G693" i="7"/>
  <c r="G694" i="7"/>
  <c r="G695" i="7"/>
  <c r="G696" i="7"/>
  <c r="G697" i="7"/>
  <c r="G698" i="7"/>
  <c r="G699" i="7"/>
  <c r="G700" i="7"/>
  <c r="G701" i="7"/>
  <c r="G702" i="7"/>
  <c r="G703" i="7"/>
  <c r="G704" i="7"/>
  <c r="G705" i="7"/>
  <c r="G706" i="7"/>
  <c r="G707" i="7"/>
  <c r="G708" i="7"/>
  <c r="G709" i="7"/>
  <c r="G710" i="7"/>
  <c r="G711" i="7"/>
  <c r="G712" i="7"/>
  <c r="G713" i="7"/>
  <c r="G714" i="7"/>
  <c r="G715" i="7"/>
  <c r="G716" i="7"/>
  <c r="G717" i="7"/>
  <c r="G718" i="7"/>
  <c r="G719" i="7"/>
  <c r="G720" i="7"/>
  <c r="G721" i="7"/>
  <c r="G722" i="7"/>
  <c r="G723" i="7"/>
  <c r="G724" i="7"/>
  <c r="G3" i="7"/>
  <c r="D4" i="5"/>
  <c r="D5" i="5"/>
  <c r="D6" i="5"/>
  <c r="D7" i="5"/>
  <c r="D8" i="5"/>
  <c r="D9" i="5"/>
  <c r="D3" i="5"/>
  <c r="I2" i="9" l="1"/>
  <c r="E6" i="6" s="1"/>
  <c r="E9" i="6" s="1"/>
  <c r="E23" i="6" s="1"/>
  <c r="J3" i="5"/>
  <c r="E24" i="6" l="1"/>
  <c r="E25" i="6" s="1"/>
</calcChain>
</file>

<file path=xl/sharedStrings.xml><?xml version="1.0" encoding="utf-8"?>
<sst xmlns="http://schemas.openxmlformats.org/spreadsheetml/2006/main" count="252" uniqueCount="135">
  <si>
    <t xml:space="preserve">Last Name </t>
  </si>
  <si>
    <t xml:space="preserve">First Name </t>
  </si>
  <si>
    <t xml:space="preserve">City </t>
  </si>
  <si>
    <t xml:space="preserve">State </t>
  </si>
  <si>
    <t>Zip</t>
  </si>
  <si>
    <t>SSN</t>
  </si>
  <si>
    <t xml:space="preserve">Numner of Withholidings </t>
  </si>
  <si>
    <t>Salary $</t>
  </si>
  <si>
    <t>Employess</t>
  </si>
  <si>
    <t>Company Name</t>
  </si>
  <si>
    <t>Last Name</t>
  </si>
  <si>
    <t>First Name</t>
  </si>
  <si>
    <t xml:space="preserve">Address Line 1 </t>
  </si>
  <si>
    <t xml:space="preserve">Address Line 2 </t>
  </si>
  <si>
    <t>State</t>
  </si>
  <si>
    <t>Price $</t>
  </si>
  <si>
    <t xml:space="preserve">Customers </t>
  </si>
  <si>
    <t>Part</t>
  </si>
  <si>
    <t>Price/Unit $</t>
  </si>
  <si>
    <t>Address Line 2</t>
  </si>
  <si>
    <t>Vendors</t>
  </si>
  <si>
    <t xml:space="preserve">Inventory </t>
  </si>
  <si>
    <t xml:space="preserve">Part </t>
  </si>
  <si>
    <t>Price/Unit</t>
  </si>
  <si>
    <t>Quantity</t>
  </si>
  <si>
    <t>Value</t>
  </si>
  <si>
    <t>Re_Order</t>
  </si>
  <si>
    <t>Sales</t>
  </si>
  <si>
    <t xml:space="preserve">Income Statemnt </t>
  </si>
  <si>
    <t>COGS</t>
  </si>
  <si>
    <t xml:space="preserve">Gross Profit </t>
  </si>
  <si>
    <t xml:space="preserve">Expenses </t>
  </si>
  <si>
    <t>Payroll</t>
  </si>
  <si>
    <t xml:space="preserve">Payroll Withholdings </t>
  </si>
  <si>
    <t>Bills</t>
  </si>
  <si>
    <t xml:space="preserve">Annual Expenses </t>
  </si>
  <si>
    <t xml:space="preserve">Total Expenses </t>
  </si>
  <si>
    <t>Other Income</t>
  </si>
  <si>
    <t>Operating Income</t>
  </si>
  <si>
    <t>Income Taxes</t>
  </si>
  <si>
    <r>
      <rPr>
        <b/>
        <sz val="11"/>
        <color theme="1"/>
        <rFont val="Calibri"/>
        <family val="2"/>
        <scheme val="minor"/>
      </rPr>
      <t>Net Income</t>
    </r>
    <r>
      <rPr>
        <sz val="11"/>
        <color theme="1"/>
        <rFont val="Calibri"/>
        <family val="2"/>
        <scheme val="minor"/>
      </rPr>
      <t xml:space="preserve"> </t>
    </r>
  </si>
  <si>
    <t>Assets</t>
  </si>
  <si>
    <t>Cash</t>
  </si>
  <si>
    <t xml:space="preserve">Accounts Receivable </t>
  </si>
  <si>
    <t>Total Current Assets</t>
  </si>
  <si>
    <t>Land/Building</t>
  </si>
  <si>
    <t>Equipment</t>
  </si>
  <si>
    <t>Furniture and Fixtures</t>
  </si>
  <si>
    <t>Total Fixed Assets</t>
  </si>
  <si>
    <t>Total Assets</t>
  </si>
  <si>
    <t>Liabilities and Net Worth</t>
  </si>
  <si>
    <t xml:space="preserve">Accounts Payable </t>
  </si>
  <si>
    <t xml:space="preserve">Notes Payable </t>
  </si>
  <si>
    <t>Accruals</t>
  </si>
  <si>
    <t xml:space="preserve">Total Current Liabilities </t>
  </si>
  <si>
    <t>Mortage</t>
  </si>
  <si>
    <t>Total Long Term Debt</t>
  </si>
  <si>
    <t xml:space="preserve">Total Liabilities </t>
  </si>
  <si>
    <t>Net Worth</t>
  </si>
  <si>
    <t>Total Liabilities and Net Worth</t>
  </si>
  <si>
    <t>Zeinieh</t>
  </si>
  <si>
    <t>George</t>
  </si>
  <si>
    <t>909 s 5th</t>
  </si>
  <si>
    <t xml:space="preserve">na </t>
  </si>
  <si>
    <t>Chicago</t>
  </si>
  <si>
    <t>IL</t>
  </si>
  <si>
    <t>Echo</t>
  </si>
  <si>
    <t>Address 1</t>
  </si>
  <si>
    <t>Address 2</t>
  </si>
  <si>
    <t>Urbana</t>
  </si>
  <si>
    <t>Lilly</t>
  </si>
  <si>
    <t>Bill</t>
  </si>
  <si>
    <t xml:space="preserve">Address 1 </t>
  </si>
  <si>
    <t>Champaign</t>
  </si>
  <si>
    <t>Law</t>
  </si>
  <si>
    <t xml:space="preserve">Tony </t>
  </si>
  <si>
    <t xml:space="preserve">Urbana </t>
  </si>
  <si>
    <t>Miro</t>
  </si>
  <si>
    <t xml:space="preserve">Amazon </t>
  </si>
  <si>
    <t>NYC</t>
  </si>
  <si>
    <t>NY</t>
  </si>
  <si>
    <t>Pepsi</t>
  </si>
  <si>
    <t>Henawi</t>
  </si>
  <si>
    <t>Pe</t>
  </si>
  <si>
    <t xml:space="preserve">Adham </t>
  </si>
  <si>
    <t>Phil</t>
  </si>
  <si>
    <t>ABI</t>
  </si>
  <si>
    <t xml:space="preserve">Wheels </t>
  </si>
  <si>
    <t xml:space="preserve">Glass </t>
  </si>
  <si>
    <t>Tank</t>
  </si>
  <si>
    <t>Axels</t>
  </si>
  <si>
    <t>Cab</t>
  </si>
  <si>
    <t>Body</t>
  </si>
  <si>
    <t>Box</t>
  </si>
  <si>
    <t xml:space="preserve">Tires R US </t>
  </si>
  <si>
    <t>Acme Plastic</t>
  </si>
  <si>
    <t>Mr. Mixers</t>
  </si>
  <si>
    <t>Micro Axels</t>
  </si>
  <si>
    <t>Casting 4u</t>
  </si>
  <si>
    <t>Casting Man</t>
  </si>
  <si>
    <t xml:space="preserve">Many Boxes </t>
  </si>
  <si>
    <t>X</t>
  </si>
  <si>
    <t xml:space="preserve">George </t>
  </si>
  <si>
    <t>PO</t>
  </si>
  <si>
    <t>PO #</t>
  </si>
  <si>
    <t xml:space="preserve">Date </t>
  </si>
  <si>
    <t>Supplier</t>
  </si>
  <si>
    <t>Price/unit</t>
  </si>
  <si>
    <t>Total</t>
  </si>
  <si>
    <t>Invoice History</t>
  </si>
  <si>
    <t>Invoice #</t>
  </si>
  <si>
    <t>Date</t>
  </si>
  <si>
    <t>Customer</t>
  </si>
  <si>
    <t xml:space="preserve">Payroll History </t>
  </si>
  <si>
    <t xml:space="preserve">Payroll # </t>
  </si>
  <si>
    <t xml:space="preserve">Full Name </t>
  </si>
  <si>
    <t xml:space="preserve">Annual Salary </t>
  </si>
  <si>
    <t xml:space="preserve">Total Payroll Expenses </t>
  </si>
  <si>
    <t xml:space="preserve">Total </t>
  </si>
  <si>
    <t xml:space="preserve">Payment - weekly </t>
  </si>
  <si>
    <t xml:space="preserve">Withholdings  </t>
  </si>
  <si>
    <t xml:space="preserve">Total Withholdings </t>
  </si>
  <si>
    <t xml:space="preserve">Price/Unit </t>
  </si>
  <si>
    <t xml:space="preserve">Total Sales </t>
  </si>
  <si>
    <t xml:space="preserve"># of Units </t>
  </si>
  <si>
    <t>cost of 1 unit</t>
  </si>
  <si>
    <t>Matched by Employer</t>
  </si>
  <si>
    <t xml:space="preserve">Total of all purchases </t>
  </si>
  <si>
    <t>Inventory total</t>
  </si>
  <si>
    <t>ferrar</t>
  </si>
  <si>
    <t>Steph</t>
  </si>
  <si>
    <t>Jeff</t>
  </si>
  <si>
    <t xml:space="preserve">Bezos </t>
  </si>
  <si>
    <t>M</t>
  </si>
  <si>
    <t>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</si>
</sst>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1" xfId="0" applyBorder="1"/>
    <xf numFmtId="0" fontId="1" fillId="0" borderId="0" xfId="0" applyFont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1" fillId="0" borderId="5" xfId="0" applyFon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2" borderId="2" xfId="0" applyFont="1" applyFill="1" applyBorder="1"/>
    <xf numFmtId="0" fontId="0" fillId="2" borderId="3" xfId="0" applyFill="1" applyBorder="1"/>
    <xf numFmtId="0" fontId="0" fillId="2" borderId="4" xfId="0" applyFill="1" applyBorder="1"/>
    <xf numFmtId="0" fontId="1" fillId="0" borderId="0" xfId="0" applyFont="1" applyBorder="1"/>
    <xf numFmtId="0" fontId="1" fillId="2" borderId="3" xfId="0" applyFont="1" applyFill="1" applyBorder="1"/>
    <xf numFmtId="22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10" xfId="0" applyBorder="1"/>
    <xf numFmtId="164" fontId="0" fillId="0" borderId="0" xfId="0" applyNumberFormat="1"/>
    <xf numFmtId="164" fontId="0" fillId="0" borderId="1" xfId="0" applyNumberFormat="1" applyBorder="1"/>
    <xf numFmtId="164" fontId="0" fillId="0" borderId="4" xfId="0" applyNumberFormat="1" applyBorder="1"/>
    <xf numFmtId="164" fontId="0" fillId="0" borderId="9" xfId="0" applyNumberFormat="1" applyBorder="1"/>
    <xf numFmtId="164" fontId="0" fillId="0" borderId="11" xfId="0" applyNumberFormat="1" applyBorder="1"/>
    <xf numFmtId="164" fontId="0" fillId="2" borderId="3" xfId="0" applyNumberFormat="1" applyFill="1" applyBorder="1"/>
    <xf numFmtId="164" fontId="0" fillId="0" borderId="0" xfId="0" applyNumberFormat="1" applyBorder="1"/>
    <xf numFmtId="164" fontId="0" fillId="0" borderId="8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5</xdr:row>
          <xdr:rowOff>0</xdr:rowOff>
        </xdr:from>
        <xdr:to>
          <xdr:col>6</xdr:col>
          <xdr:colOff>866775</xdr:colOff>
          <xdr:row>6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View 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0</xdr:rowOff>
        </xdr:from>
        <xdr:to>
          <xdr:col>8</xdr:col>
          <xdr:colOff>285750</xdr:colOff>
          <xdr:row>6</xdr:row>
          <xdr:rowOff>57150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View Vendors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0</xdr:rowOff>
        </xdr:from>
        <xdr:to>
          <xdr:col>5</xdr:col>
          <xdr:colOff>9525</xdr:colOff>
          <xdr:row>6</xdr:row>
          <xdr:rowOff>38100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View Employees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847725</xdr:colOff>
          <xdr:row>5</xdr:row>
          <xdr:rowOff>0</xdr:rowOff>
        </xdr:from>
        <xdr:to>
          <xdr:col>10</xdr:col>
          <xdr:colOff>600075</xdr:colOff>
          <xdr:row>6</xdr:row>
          <xdr:rowOff>28575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View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10</xdr:row>
          <xdr:rowOff>0</xdr:rowOff>
        </xdr:from>
        <xdr:to>
          <xdr:col>7</xdr:col>
          <xdr:colOff>600075</xdr:colOff>
          <xdr:row>11</xdr:row>
          <xdr:rowOff>47625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View Payroll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10</xdr:row>
          <xdr:rowOff>0</xdr:rowOff>
        </xdr:from>
        <xdr:to>
          <xdr:col>5</xdr:col>
          <xdr:colOff>323850</xdr:colOff>
          <xdr:row>11</xdr:row>
          <xdr:rowOff>38100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View Purchase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504825</xdr:colOff>
          <xdr:row>10</xdr:row>
          <xdr:rowOff>0</xdr:rowOff>
        </xdr:from>
        <xdr:to>
          <xdr:col>11</xdr:col>
          <xdr:colOff>0</xdr:colOff>
          <xdr:row>11</xdr:row>
          <xdr:rowOff>38100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View Invoice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733425</xdr:colOff>
          <xdr:row>13</xdr:row>
          <xdr:rowOff>180975</xdr:rowOff>
        </xdr:from>
        <xdr:to>
          <xdr:col>7</xdr:col>
          <xdr:colOff>409575</xdr:colOff>
          <xdr:row>18</xdr:row>
          <xdr:rowOff>38100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View Balance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</xdr:row>
          <xdr:rowOff>152400</xdr:rowOff>
        </xdr:from>
        <xdr:to>
          <xdr:col>5</xdr:col>
          <xdr:colOff>19050</xdr:colOff>
          <xdr:row>8</xdr:row>
          <xdr:rowOff>104775</xdr:rowOff>
        </xdr:to>
        <xdr:sp macro="" textlink="">
          <xdr:nvSpPr>
            <xdr:cNvPr id="2067" name="CommandButton1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6</xdr:row>
          <xdr:rowOff>142875</xdr:rowOff>
        </xdr:from>
        <xdr:to>
          <xdr:col>6</xdr:col>
          <xdr:colOff>895350</xdr:colOff>
          <xdr:row>8</xdr:row>
          <xdr:rowOff>114300</xdr:rowOff>
        </xdr:to>
        <xdr:sp macro="" textlink="">
          <xdr:nvSpPr>
            <xdr:cNvPr id="2068" name="CommandButton2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1485900</xdr:colOff>
          <xdr:row>6</xdr:row>
          <xdr:rowOff>152400</xdr:rowOff>
        </xdr:from>
        <xdr:to>
          <xdr:col>8</xdr:col>
          <xdr:colOff>304800</xdr:colOff>
          <xdr:row>8</xdr:row>
          <xdr:rowOff>85725</xdr:rowOff>
        </xdr:to>
        <xdr:sp macro="" textlink="">
          <xdr:nvSpPr>
            <xdr:cNvPr id="2069" name="CommandButton3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361950</xdr:colOff>
          <xdr:row>13</xdr:row>
          <xdr:rowOff>123825</xdr:rowOff>
        </xdr:to>
        <xdr:sp macro="" textlink="">
          <xdr:nvSpPr>
            <xdr:cNvPr id="2070" name="CommandButton4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11</xdr:row>
          <xdr:rowOff>123825</xdr:rowOff>
        </xdr:from>
        <xdr:to>
          <xdr:col>11</xdr:col>
          <xdr:colOff>19050</xdr:colOff>
          <xdr:row>13</xdr:row>
          <xdr:rowOff>76200</xdr:rowOff>
        </xdr:to>
        <xdr:sp macro="" textlink="">
          <xdr:nvSpPr>
            <xdr:cNvPr id="2071" name="CommandButton5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485775</xdr:colOff>
          <xdr:row>12</xdr:row>
          <xdr:rowOff>0</xdr:rowOff>
        </xdr:from>
        <xdr:to>
          <xdr:col>7</xdr:col>
          <xdr:colOff>581025</xdr:colOff>
          <xdr:row>13</xdr:row>
          <xdr:rowOff>133350</xdr:rowOff>
        </xdr:to>
        <xdr:sp macro="" textlink="">
          <xdr:nvSpPr>
            <xdr:cNvPr id="2073" name="CommandButton6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0</xdr:row>
          <xdr:rowOff>9525</xdr:rowOff>
        </xdr:from>
        <xdr:to>
          <xdr:col>2</xdr:col>
          <xdr:colOff>600075</xdr:colOff>
          <xdr:row>0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0</xdr:row>
          <xdr:rowOff>28575</xdr:rowOff>
        </xdr:from>
        <xdr:to>
          <xdr:col>2</xdr:col>
          <xdr:colOff>400050</xdr:colOff>
          <xdr:row>0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819150</xdr:colOff>
          <xdr:row>0</xdr:row>
          <xdr:rowOff>9525</xdr:rowOff>
        </xdr:from>
        <xdr:to>
          <xdr:col>2</xdr:col>
          <xdr:colOff>95250</xdr:colOff>
          <xdr:row>0</xdr:row>
          <xdr:rowOff>342900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0</xdr:row>
          <xdr:rowOff>57150</xdr:rowOff>
        </xdr:from>
        <xdr:to>
          <xdr:col>2</xdr:col>
          <xdr:colOff>171450</xdr:colOff>
          <xdr:row>0</xdr:row>
          <xdr:rowOff>400050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19050</xdr:rowOff>
        </xdr:from>
        <xdr:to>
          <xdr:col>7</xdr:col>
          <xdr:colOff>1066800</xdr:colOff>
          <xdr:row>24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0</xdr:row>
          <xdr:rowOff>66675</xdr:rowOff>
        </xdr:from>
        <xdr:to>
          <xdr:col>2</xdr:col>
          <xdr:colOff>352425</xdr:colOff>
          <xdr:row>0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0</xdr:row>
          <xdr:rowOff>76200</xdr:rowOff>
        </xdr:from>
        <xdr:to>
          <xdr:col>2</xdr:col>
          <xdr:colOff>314325</xdr:colOff>
          <xdr:row>0</xdr:row>
          <xdr:rowOff>542925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76200</xdr:rowOff>
        </xdr:from>
        <xdr:to>
          <xdr:col>2</xdr:col>
          <xdr:colOff>266700</xdr:colOff>
          <xdr:row>0</xdr:row>
          <xdr:rowOff>466725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20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8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9"/>
  <sheetViews>
    <sheetView showGridLines="0" tabSelected="1" topLeftCell="C2" workbookViewId="0">
      <selection activeCell="N18" sqref="N18"/>
    </sheetView>
  </sheetViews>
  <sheetFormatPr defaultRowHeight="15" x14ac:dyDescent="0.25"/>
  <cols>
    <col min="5" max="5" width="19.42578125" customWidth="1"/>
    <col min="6" max="6" width="16.85546875" customWidth="1"/>
    <col min="7" max="7" width="22.42578125" customWidth="1"/>
    <col min="8" max="8" width="15.7109375" customWidth="1"/>
    <col min="9" max="9" width="13.85546875" customWidth="1"/>
  </cols>
  <sheetData>
    <row r="1" spans="1:12" x14ac:dyDescent="0.25">
      <c r="A1" t="s">
        <v>60</v>
      </c>
      <c r="B1" t="s">
        <v>61</v>
      </c>
      <c r="C1" t="s">
        <v>62</v>
      </c>
      <c r="D1" t="s">
        <v>63</v>
      </c>
      <c r="E1" t="s">
        <v>64</v>
      </c>
      <c r="F1" t="s">
        <v>65</v>
      </c>
      <c r="G1">
        <v>60616</v>
      </c>
      <c r="H1">
        <v>12345</v>
      </c>
      <c r="I1">
        <v>1</v>
      </c>
      <c r="J1">
        <v>1000000</v>
      </c>
    </row>
    <row r="3" spans="1:12" ht="15.75" thickBot="1" x14ac:dyDescent="0.3"/>
    <row r="4" spans="1:12" x14ac:dyDescent="0.25">
      <c r="D4" s="16"/>
      <c r="E4" s="17"/>
      <c r="F4" s="17"/>
      <c r="G4" s="17"/>
      <c r="H4" s="17"/>
      <c r="I4" s="17"/>
      <c r="J4" s="17"/>
      <c r="K4" s="17"/>
      <c r="L4" s="18"/>
    </row>
    <row r="5" spans="1:12" x14ac:dyDescent="0.25">
      <c r="D5" s="3"/>
      <c r="E5" s="4"/>
      <c r="F5" s="4"/>
      <c r="G5" s="4"/>
      <c r="H5" s="4"/>
      <c r="I5" s="4"/>
      <c r="J5" s="4"/>
      <c r="K5" s="4"/>
      <c r="L5" s="5"/>
    </row>
    <row r="6" spans="1:12" x14ac:dyDescent="0.25">
      <c r="D6" s="3"/>
      <c r="E6" s="4"/>
      <c r="F6" s="4"/>
      <c r="G6" s="4"/>
      <c r="H6" s="4"/>
      <c r="I6" s="4"/>
      <c r="J6" s="4"/>
      <c r="K6" s="4"/>
      <c r="L6" s="5"/>
    </row>
    <row r="7" spans="1:12" x14ac:dyDescent="0.25">
      <c r="D7" s="3"/>
      <c r="E7" s="4"/>
      <c r="F7" s="4"/>
      <c r="G7" s="4"/>
      <c r="H7" s="4"/>
      <c r="I7" s="4"/>
      <c r="J7" s="4"/>
      <c r="K7" s="4"/>
      <c r="L7" s="5"/>
    </row>
    <row r="8" spans="1:12" x14ac:dyDescent="0.25">
      <c r="D8" s="3"/>
      <c r="E8" s="4"/>
      <c r="F8" s="4"/>
      <c r="G8" s="4"/>
      <c r="H8" s="4"/>
      <c r="I8" s="4"/>
      <c r="J8" s="4"/>
      <c r="K8" s="4"/>
      <c r="L8" s="5"/>
    </row>
    <row r="9" spans="1:12" x14ac:dyDescent="0.25">
      <c r="D9" s="3"/>
      <c r="E9" s="4"/>
      <c r="F9" s="4"/>
      <c r="G9" s="4"/>
      <c r="H9" s="4"/>
      <c r="I9" s="4"/>
      <c r="J9" s="4"/>
      <c r="K9" s="4"/>
      <c r="L9" s="5"/>
    </row>
    <row r="10" spans="1:12" x14ac:dyDescent="0.25">
      <c r="D10" s="3"/>
      <c r="E10" s="4"/>
      <c r="F10" s="4"/>
      <c r="G10" s="4"/>
      <c r="H10" s="4"/>
      <c r="I10" s="4"/>
      <c r="J10" s="4"/>
      <c r="K10" s="4"/>
      <c r="L10" s="5"/>
    </row>
    <row r="11" spans="1:12" x14ac:dyDescent="0.25">
      <c r="D11" s="3"/>
      <c r="E11" s="4"/>
      <c r="F11" s="4"/>
      <c r="G11" s="4"/>
      <c r="H11" s="4"/>
      <c r="I11" s="4"/>
      <c r="J11" s="4"/>
      <c r="K11" s="4"/>
      <c r="L11" s="5"/>
    </row>
    <row r="12" spans="1:12" x14ac:dyDescent="0.25">
      <c r="D12" s="3"/>
      <c r="E12" s="4"/>
      <c r="F12" s="4"/>
      <c r="G12" s="4"/>
      <c r="H12" s="4"/>
      <c r="I12" s="4"/>
      <c r="J12" s="4"/>
      <c r="K12" s="4"/>
      <c r="L12" s="5"/>
    </row>
    <row r="13" spans="1:12" x14ac:dyDescent="0.25">
      <c r="D13" s="3"/>
      <c r="E13" s="4"/>
      <c r="F13" s="4"/>
      <c r="G13" s="4"/>
      <c r="H13" s="4"/>
      <c r="I13" s="4"/>
      <c r="J13" s="4"/>
      <c r="K13" s="4"/>
      <c r="L13" s="5"/>
    </row>
    <row r="14" spans="1:12" x14ac:dyDescent="0.25">
      <c r="D14" s="3"/>
      <c r="E14" s="4"/>
      <c r="F14" s="4"/>
      <c r="G14" s="4"/>
      <c r="H14" s="4"/>
      <c r="I14" s="4"/>
      <c r="J14" s="4"/>
      <c r="K14" s="4"/>
      <c r="L14" s="5"/>
    </row>
    <row r="15" spans="1:12" x14ac:dyDescent="0.25">
      <c r="D15" s="3"/>
      <c r="E15" s="4"/>
      <c r="F15" s="4"/>
      <c r="G15" s="4"/>
      <c r="H15" s="4"/>
      <c r="I15" s="4"/>
      <c r="J15" s="4"/>
      <c r="K15" s="4"/>
      <c r="L15" s="5"/>
    </row>
    <row r="16" spans="1:12" x14ac:dyDescent="0.25">
      <c r="D16" s="3"/>
      <c r="E16" s="4"/>
      <c r="F16" s="4"/>
      <c r="G16" s="4"/>
      <c r="H16" s="4"/>
      <c r="I16" s="4"/>
      <c r="J16" s="4"/>
      <c r="K16" s="4"/>
      <c r="L16" s="5"/>
    </row>
    <row r="17" spans="4:12" x14ac:dyDescent="0.25">
      <c r="D17" s="3"/>
      <c r="E17" s="4"/>
      <c r="F17" s="4"/>
      <c r="G17" s="4"/>
      <c r="H17" s="4"/>
      <c r="I17" s="4"/>
      <c r="J17" s="4"/>
      <c r="K17" s="4"/>
      <c r="L17" s="5"/>
    </row>
    <row r="18" spans="4:12" x14ac:dyDescent="0.25">
      <c r="D18" s="3"/>
      <c r="E18" s="4"/>
      <c r="F18" s="4"/>
      <c r="G18" s="4"/>
      <c r="H18" s="4"/>
      <c r="I18" s="4"/>
      <c r="J18" s="4"/>
      <c r="K18" s="4"/>
      <c r="L18" s="5"/>
    </row>
    <row r="19" spans="4:12" ht="15.75" thickBot="1" x14ac:dyDescent="0.3">
      <c r="D19" s="7"/>
      <c r="E19" s="8"/>
      <c r="F19" s="8"/>
      <c r="G19" s="8"/>
      <c r="H19" s="8"/>
      <c r="I19" s="8"/>
      <c r="J19" s="8"/>
      <c r="K19" s="8"/>
      <c r="L19" s="9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73" r:id="rId4" name="CommandButton6">
          <controlPr defaultSize="0" autoLine="0" autoPict="0" r:id="rId5">
            <anchor moveWithCells="1">
              <from>
                <xdr:col>6</xdr:col>
                <xdr:colOff>485775</xdr:colOff>
                <xdr:row>12</xdr:row>
                <xdr:rowOff>0</xdr:rowOff>
              </from>
              <to>
                <xdr:col>7</xdr:col>
                <xdr:colOff>581025</xdr:colOff>
                <xdr:row>13</xdr:row>
                <xdr:rowOff>133350</xdr:rowOff>
              </to>
            </anchor>
          </controlPr>
        </control>
      </mc:Choice>
      <mc:Fallback>
        <control shapeId="2073" r:id="rId4" name="CommandButton6"/>
      </mc:Fallback>
    </mc:AlternateContent>
    <mc:AlternateContent xmlns:mc="http://schemas.openxmlformats.org/markup-compatibility/2006">
      <mc:Choice Requires="x14">
        <control shapeId="2067" r:id="rId6" name="CommandButton1">
          <controlPr defaultSize="0" autoLine="0" autoPict="0" r:id="rId7">
            <anchor moveWithCells="1">
              <from>
                <xdr:col>4</xdr:col>
                <xdr:colOff>9525</xdr:colOff>
                <xdr:row>6</xdr:row>
                <xdr:rowOff>152400</xdr:rowOff>
              </from>
              <to>
                <xdr:col>5</xdr:col>
                <xdr:colOff>19050</xdr:colOff>
                <xdr:row>8</xdr:row>
                <xdr:rowOff>104775</xdr:rowOff>
              </to>
            </anchor>
          </controlPr>
        </control>
      </mc:Choice>
      <mc:Fallback>
        <control shapeId="2067" r:id="rId6" name="CommandButton1"/>
      </mc:Fallback>
    </mc:AlternateContent>
    <mc:AlternateContent xmlns:mc="http://schemas.openxmlformats.org/markup-compatibility/2006">
      <mc:Choice Requires="x14">
        <control shapeId="2068" r:id="rId8" name="CommandButton2">
          <controlPr defaultSize="0" autoLine="0" autoPict="0" r:id="rId9">
            <anchor moveWithCells="1">
              <from>
                <xdr:col>5</xdr:col>
                <xdr:colOff>552450</xdr:colOff>
                <xdr:row>6</xdr:row>
                <xdr:rowOff>142875</xdr:rowOff>
              </from>
              <to>
                <xdr:col>6</xdr:col>
                <xdr:colOff>895350</xdr:colOff>
                <xdr:row>8</xdr:row>
                <xdr:rowOff>114300</xdr:rowOff>
              </to>
            </anchor>
          </controlPr>
        </control>
      </mc:Choice>
      <mc:Fallback>
        <control shapeId="2068" r:id="rId8" name="CommandButton2"/>
      </mc:Fallback>
    </mc:AlternateContent>
    <mc:AlternateContent xmlns:mc="http://schemas.openxmlformats.org/markup-compatibility/2006">
      <mc:Choice Requires="x14">
        <control shapeId="2069" r:id="rId10" name="CommandButton3">
          <controlPr defaultSize="0" autoLine="0" r:id="rId11">
            <anchor moveWithCells="1">
              <from>
                <xdr:col>6</xdr:col>
                <xdr:colOff>1485900</xdr:colOff>
                <xdr:row>6</xdr:row>
                <xdr:rowOff>152400</xdr:rowOff>
              </from>
              <to>
                <xdr:col>8</xdr:col>
                <xdr:colOff>304800</xdr:colOff>
                <xdr:row>8</xdr:row>
                <xdr:rowOff>85725</xdr:rowOff>
              </to>
            </anchor>
          </controlPr>
        </control>
      </mc:Choice>
      <mc:Fallback>
        <control shapeId="2069" r:id="rId10" name="CommandButton3"/>
      </mc:Fallback>
    </mc:AlternateContent>
    <mc:AlternateContent xmlns:mc="http://schemas.openxmlformats.org/markup-compatibility/2006">
      <mc:Choice Requires="x14">
        <control shapeId="2070" r:id="rId12" name="CommandButton4">
          <controlPr defaultSize="0" autoLine="0" autoPict="0" r:id="rId13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361950</xdr:colOff>
                <xdr:row>13</xdr:row>
                <xdr:rowOff>123825</xdr:rowOff>
              </to>
            </anchor>
          </controlPr>
        </control>
      </mc:Choice>
      <mc:Fallback>
        <control shapeId="2070" r:id="rId12" name="CommandButton4"/>
      </mc:Fallback>
    </mc:AlternateContent>
    <mc:AlternateContent xmlns:mc="http://schemas.openxmlformats.org/markup-compatibility/2006">
      <mc:Choice Requires="x14">
        <control shapeId="2071" r:id="rId14" name="CommandButton5">
          <controlPr defaultSize="0" autoLine="0" r:id="rId15">
            <anchor moveWithCells="1">
              <from>
                <xdr:col>8</xdr:col>
                <xdr:colOff>533400</xdr:colOff>
                <xdr:row>11</xdr:row>
                <xdr:rowOff>123825</xdr:rowOff>
              </from>
              <to>
                <xdr:col>11</xdr:col>
                <xdr:colOff>19050</xdr:colOff>
                <xdr:row>13</xdr:row>
                <xdr:rowOff>76200</xdr:rowOff>
              </to>
            </anchor>
          </controlPr>
        </control>
      </mc:Choice>
      <mc:Fallback>
        <control shapeId="2071" r:id="rId14" name="CommandButton5"/>
      </mc:Fallback>
    </mc:AlternateContent>
    <mc:AlternateContent xmlns:mc="http://schemas.openxmlformats.org/markup-compatibility/2006">
      <mc:Choice Requires="x14">
        <control shapeId="2050" r:id="rId16" name="Button 2">
          <controlPr defaultSize="0" print="0" autoFill="0" autoPict="0" macro="[0]!View_Customers">
            <anchor moveWithCells="1" sizeWithCells="1">
              <from>
                <xdr:col>5</xdr:col>
                <xdr:colOff>542925</xdr:colOff>
                <xdr:row>5</xdr:row>
                <xdr:rowOff>0</xdr:rowOff>
              </from>
              <to>
                <xdr:col>6</xdr:col>
                <xdr:colOff>866775</xdr:colOff>
                <xdr:row>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1" r:id="rId17" name="Button 3">
          <controlPr defaultSize="0" print="0" autoFill="0" autoPict="0" macro="[0]!view_vendors">
            <anchor moveWithCells="1" sizeWithCells="1">
              <from>
                <xdr:col>7</xdr:col>
                <xdr:colOff>9525</xdr:colOff>
                <xdr:row>5</xdr:row>
                <xdr:rowOff>0</xdr:rowOff>
              </from>
              <to>
                <xdr:col>8</xdr:col>
                <xdr:colOff>285750</xdr:colOff>
                <xdr:row>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2" r:id="rId18" name="Button 4">
          <controlPr defaultSize="0" print="0" autoFill="0" autoPict="0" macro="[0]!VIew_Employess">
            <anchor moveWithCells="1" sizeWithCells="1">
              <from>
                <xdr:col>4</xdr:col>
                <xdr:colOff>9525</xdr:colOff>
                <xdr:row>5</xdr:row>
                <xdr:rowOff>0</xdr:rowOff>
              </from>
              <to>
                <xdr:col>5</xdr:col>
                <xdr:colOff>9525</xdr:colOff>
                <xdr:row>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" r:id="rId19" name="Button 5">
          <controlPr defaultSize="0" print="0" autoFill="0" autoPict="0" macro="[0]!View_Inventory">
            <anchor moveWithCells="1" sizeWithCells="1">
              <from>
                <xdr:col>8</xdr:col>
                <xdr:colOff>847725</xdr:colOff>
                <xdr:row>5</xdr:row>
                <xdr:rowOff>0</xdr:rowOff>
              </from>
              <to>
                <xdr:col>10</xdr:col>
                <xdr:colOff>600075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5" r:id="rId20" name="Button 7">
          <controlPr defaultSize="0" print="0" autoFill="0" autoPict="0" macro="[0]!View_Payroll">
            <anchor moveWithCells="1" sizeWithCells="1">
              <from>
                <xdr:col>6</xdr:col>
                <xdr:colOff>495300</xdr:colOff>
                <xdr:row>10</xdr:row>
                <xdr:rowOff>0</xdr:rowOff>
              </from>
              <to>
                <xdr:col>7</xdr:col>
                <xdr:colOff>600075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21" name="Button 10">
          <controlPr defaultSize="0" print="0" autoFill="0" autoPict="0" macro="[0]!VIew_po">
            <anchor moveWithCells="1" sizeWithCells="1">
              <from>
                <xdr:col>4</xdr:col>
                <xdr:colOff>19050</xdr:colOff>
                <xdr:row>10</xdr:row>
                <xdr:rowOff>0</xdr:rowOff>
              </from>
              <to>
                <xdr:col>5</xdr:col>
                <xdr:colOff>323850</xdr:colOff>
                <xdr:row>11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22" name="Button 12">
          <controlPr defaultSize="0" print="0" autoFill="0" autoPict="0" macro="[0]!View_Invoice">
            <anchor moveWithCells="1" sizeWithCells="1">
              <from>
                <xdr:col>8</xdr:col>
                <xdr:colOff>504825</xdr:colOff>
                <xdr:row>10</xdr:row>
                <xdr:rowOff>0</xdr:rowOff>
              </from>
              <to>
                <xdr:col>11</xdr:col>
                <xdr:colOff>0</xdr:colOff>
                <xdr:row>11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23" name="Button 13">
          <controlPr defaultSize="0" print="0" autoFill="0" autoPict="0" macro="[0]!View_Balance">
            <anchor moveWithCells="1" sizeWithCells="1">
              <from>
                <xdr:col>6</xdr:col>
                <xdr:colOff>733425</xdr:colOff>
                <xdr:row>13</xdr:row>
                <xdr:rowOff>180975</xdr:rowOff>
              </from>
              <to>
                <xdr:col>7</xdr:col>
                <xdr:colOff>409575</xdr:colOff>
                <xdr:row>18</xdr:row>
                <xdr:rowOff>38100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9"/>
  <sheetViews>
    <sheetView workbookViewId="0">
      <selection activeCell="C11" sqref="C11"/>
    </sheetView>
  </sheetViews>
  <sheetFormatPr defaultRowHeight="15" x14ac:dyDescent="0.25"/>
  <cols>
    <col min="1" max="1" width="19" customWidth="1"/>
    <col min="3" max="3" width="11.28515625" customWidth="1"/>
    <col min="4" max="4" width="24.85546875" customWidth="1"/>
    <col min="5" max="5" width="17.28515625" customWidth="1"/>
    <col min="8" max="8" width="19.140625" customWidth="1"/>
  </cols>
  <sheetData>
    <row r="1" spans="1:8" ht="25.5" customHeight="1" x14ac:dyDescent="0.25">
      <c r="A1" t="s">
        <v>20</v>
      </c>
    </row>
    <row r="2" spans="1:8" s="1" customFormat="1" x14ac:dyDescent="0.25">
      <c r="A2" s="1" t="s">
        <v>9</v>
      </c>
      <c r="B2" s="1" t="s">
        <v>17</v>
      </c>
      <c r="C2" s="1" t="s">
        <v>18</v>
      </c>
      <c r="D2" s="1" t="s">
        <v>12</v>
      </c>
      <c r="E2" s="1" t="s">
        <v>19</v>
      </c>
      <c r="F2" s="1" t="s">
        <v>2</v>
      </c>
      <c r="G2" s="1" t="s">
        <v>3</v>
      </c>
      <c r="H2" s="1" t="s">
        <v>4</v>
      </c>
    </row>
    <row r="3" spans="1:8" x14ac:dyDescent="0.25">
      <c r="A3" t="s">
        <v>94</v>
      </c>
      <c r="B3" t="s">
        <v>87</v>
      </c>
      <c r="C3">
        <v>0.01</v>
      </c>
      <c r="D3" t="s">
        <v>67</v>
      </c>
      <c r="E3" t="s">
        <v>68</v>
      </c>
      <c r="F3" t="s">
        <v>64</v>
      </c>
      <c r="G3" t="s">
        <v>65</v>
      </c>
      <c r="H3">
        <v>60616</v>
      </c>
    </row>
    <row r="4" spans="1:8" x14ac:dyDescent="0.25">
      <c r="A4" t="s">
        <v>95</v>
      </c>
      <c r="B4" t="s">
        <v>88</v>
      </c>
      <c r="C4">
        <v>0.05</v>
      </c>
      <c r="D4" t="s">
        <v>67</v>
      </c>
      <c r="E4" t="s">
        <v>68</v>
      </c>
      <c r="F4" t="s">
        <v>64</v>
      </c>
      <c r="G4" t="s">
        <v>65</v>
      </c>
      <c r="H4">
        <v>60616</v>
      </c>
    </row>
    <row r="5" spans="1:8" x14ac:dyDescent="0.25">
      <c r="A5" t="s">
        <v>96</v>
      </c>
      <c r="B5" t="s">
        <v>89</v>
      </c>
      <c r="C5">
        <v>0.1</v>
      </c>
      <c r="D5" t="s">
        <v>67</v>
      </c>
      <c r="E5" t="s">
        <v>68</v>
      </c>
      <c r="F5" t="s">
        <v>64</v>
      </c>
      <c r="G5" t="s">
        <v>65</v>
      </c>
      <c r="H5">
        <v>60616</v>
      </c>
    </row>
    <row r="6" spans="1:8" x14ac:dyDescent="0.25">
      <c r="A6" t="s">
        <v>97</v>
      </c>
      <c r="B6" t="s">
        <v>90</v>
      </c>
      <c r="C6">
        <v>0.01</v>
      </c>
      <c r="D6" t="s">
        <v>67</v>
      </c>
      <c r="E6" t="s">
        <v>68</v>
      </c>
      <c r="F6" t="s">
        <v>64</v>
      </c>
      <c r="G6" t="s">
        <v>65</v>
      </c>
      <c r="H6">
        <v>60616</v>
      </c>
    </row>
    <row r="7" spans="1:8" x14ac:dyDescent="0.25">
      <c r="A7" t="s">
        <v>98</v>
      </c>
      <c r="B7" t="s">
        <v>91</v>
      </c>
      <c r="C7">
        <v>0.1</v>
      </c>
      <c r="D7" t="s">
        <v>67</v>
      </c>
      <c r="E7" t="s">
        <v>68</v>
      </c>
      <c r="F7" t="s">
        <v>64</v>
      </c>
      <c r="G7" t="s">
        <v>65</v>
      </c>
      <c r="H7">
        <v>60616</v>
      </c>
    </row>
    <row r="8" spans="1:8" x14ac:dyDescent="0.25">
      <c r="A8" t="s">
        <v>99</v>
      </c>
      <c r="B8" t="s">
        <v>92</v>
      </c>
      <c r="C8">
        <v>0.1</v>
      </c>
      <c r="D8" t="s">
        <v>67</v>
      </c>
      <c r="E8" t="s">
        <v>68</v>
      </c>
      <c r="F8" t="s">
        <v>64</v>
      </c>
      <c r="G8" t="s">
        <v>65</v>
      </c>
      <c r="H8">
        <v>60616</v>
      </c>
    </row>
    <row r="9" spans="1:8" x14ac:dyDescent="0.25">
      <c r="A9" t="s">
        <v>100</v>
      </c>
      <c r="B9" t="s">
        <v>93</v>
      </c>
      <c r="C9">
        <v>0.05</v>
      </c>
      <c r="D9" t="s">
        <v>67</v>
      </c>
      <c r="E9" t="s">
        <v>68</v>
      </c>
      <c r="F9" t="s">
        <v>64</v>
      </c>
      <c r="G9" t="s">
        <v>65</v>
      </c>
      <c r="H9">
        <v>60616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ack_to_main">
                <anchor moveWithCells="1" sizeWithCells="1">
                  <from>
                    <xdr:col>1</xdr:col>
                    <xdr:colOff>85725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7"/>
  <sheetViews>
    <sheetView workbookViewId="0">
      <selection activeCell="C4" sqref="C4"/>
    </sheetView>
  </sheetViews>
  <sheetFormatPr defaultRowHeight="15" x14ac:dyDescent="0.25"/>
  <cols>
    <col min="1" max="1" width="18.28515625" customWidth="1"/>
    <col min="2" max="2" width="12.28515625" customWidth="1"/>
    <col min="3" max="3" width="14.42578125" customWidth="1"/>
    <col min="4" max="4" width="15.7109375" customWidth="1"/>
    <col min="5" max="5" width="14.42578125" customWidth="1"/>
    <col min="8" max="8" width="15.5703125" customWidth="1"/>
    <col min="9" max="9" width="19.85546875" customWidth="1"/>
  </cols>
  <sheetData>
    <row r="1" spans="1:9" ht="30" customHeight="1" x14ac:dyDescent="0.25">
      <c r="A1" t="s">
        <v>16</v>
      </c>
    </row>
    <row r="2" spans="1:9" s="1" customFormat="1" x14ac:dyDescent="0.25">
      <c r="A2" s="1" t="s">
        <v>9</v>
      </c>
      <c r="B2" s="1" t="s">
        <v>10</v>
      </c>
      <c r="C2" s="1" t="s">
        <v>11</v>
      </c>
      <c r="D2" s="1" t="s">
        <v>12</v>
      </c>
      <c r="E2" s="1" t="s">
        <v>13</v>
      </c>
      <c r="F2" s="1" t="s">
        <v>2</v>
      </c>
      <c r="G2" s="1" t="s">
        <v>14</v>
      </c>
      <c r="H2" s="1" t="s">
        <v>4</v>
      </c>
      <c r="I2" s="1" t="s">
        <v>15</v>
      </c>
    </row>
    <row r="3" spans="1:9" x14ac:dyDescent="0.25">
      <c r="A3" t="s">
        <v>78</v>
      </c>
      <c r="B3" t="s">
        <v>132</v>
      </c>
      <c r="C3" t="s">
        <v>131</v>
      </c>
      <c r="D3" t="s">
        <v>67</v>
      </c>
      <c r="E3" t="s">
        <v>68</v>
      </c>
      <c r="F3" t="s">
        <v>64</v>
      </c>
      <c r="G3" t="s">
        <v>65</v>
      </c>
      <c r="H3">
        <v>60616</v>
      </c>
      <c r="I3">
        <v>7</v>
      </c>
    </row>
    <row r="4" spans="1:9" x14ac:dyDescent="0.25">
      <c r="A4" t="s">
        <v>66</v>
      </c>
      <c r="B4" t="s">
        <v>134</v>
      </c>
      <c r="C4" t="s">
        <v>134</v>
      </c>
      <c r="D4" t="s">
        <v>68</v>
      </c>
      <c r="E4" t="s">
        <v>68</v>
      </c>
      <c r="F4" t="s">
        <v>79</v>
      </c>
      <c r="G4" t="s">
        <v>80</v>
      </c>
      <c r="H4">
        <v>90932</v>
      </c>
      <c r="I4">
        <v>5.5</v>
      </c>
    </row>
    <row r="5" spans="1:9" x14ac:dyDescent="0.25">
      <c r="A5" t="s">
        <v>81</v>
      </c>
      <c r="B5" t="s">
        <v>82</v>
      </c>
      <c r="C5" t="s">
        <v>84</v>
      </c>
      <c r="D5" t="s">
        <v>67</v>
      </c>
      <c r="E5" t="s">
        <v>68</v>
      </c>
      <c r="F5" t="s">
        <v>85</v>
      </c>
      <c r="G5" t="s">
        <v>83</v>
      </c>
      <c r="H5">
        <v>45673</v>
      </c>
      <c r="I5">
        <v>5.6</v>
      </c>
    </row>
    <row r="6" spans="1:9" x14ac:dyDescent="0.25">
      <c r="A6" t="s">
        <v>86</v>
      </c>
      <c r="B6" t="s">
        <v>82</v>
      </c>
      <c r="C6" t="s">
        <v>84</v>
      </c>
      <c r="D6" t="s">
        <v>67</v>
      </c>
      <c r="E6" t="s">
        <v>68</v>
      </c>
      <c r="F6" t="s">
        <v>85</v>
      </c>
      <c r="G6" t="s">
        <v>83</v>
      </c>
      <c r="H6">
        <v>45673</v>
      </c>
      <c r="I6">
        <v>6.3</v>
      </c>
    </row>
    <row r="7" spans="1:9" x14ac:dyDescent="0.25">
      <c r="A7" t="s">
        <v>101</v>
      </c>
      <c r="B7" t="s">
        <v>102</v>
      </c>
      <c r="C7" t="s">
        <v>133</v>
      </c>
      <c r="D7" t="s">
        <v>67</v>
      </c>
      <c r="E7" t="s">
        <v>68</v>
      </c>
      <c r="F7" t="s">
        <v>64</v>
      </c>
      <c r="G7" t="s">
        <v>65</v>
      </c>
      <c r="H7">
        <v>60616</v>
      </c>
      <c r="I7">
        <v>6.8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ack_to_main">
                <anchor moveWithCells="1" sizeWithCells="1">
                  <from>
                    <xdr:col>1</xdr:col>
                    <xdr:colOff>104775</xdr:colOff>
                    <xdr:row>0</xdr:row>
                    <xdr:rowOff>28575</xdr:rowOff>
                  </from>
                  <to>
                    <xdr:col>2</xdr:col>
                    <xdr:colOff>400050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7"/>
  <sheetViews>
    <sheetView workbookViewId="0">
      <selection activeCell="C14" sqref="C14"/>
    </sheetView>
  </sheetViews>
  <sheetFormatPr defaultRowHeight="15" x14ac:dyDescent="0.25"/>
  <cols>
    <col min="1" max="1" width="12.5703125" customWidth="1"/>
    <col min="2" max="2" width="12.28515625" customWidth="1"/>
    <col min="3" max="4" width="17.5703125" customWidth="1"/>
    <col min="9" max="9" width="25" customWidth="1"/>
  </cols>
  <sheetData>
    <row r="1" spans="1:10" ht="29.25" customHeight="1" x14ac:dyDescent="0.25">
      <c r="A1" t="s">
        <v>8</v>
      </c>
    </row>
    <row r="2" spans="1:10" s="1" customFormat="1" x14ac:dyDescent="0.25">
      <c r="A2" s="1" t="s">
        <v>0</v>
      </c>
      <c r="B2" s="1" t="s">
        <v>1</v>
      </c>
      <c r="C2" s="1" t="s">
        <v>12</v>
      </c>
      <c r="D2" s="1" t="s">
        <v>13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7</v>
      </c>
    </row>
    <row r="3" spans="1:10" x14ac:dyDescent="0.25">
      <c r="A3" t="s">
        <v>60</v>
      </c>
      <c r="B3" t="s">
        <v>61</v>
      </c>
      <c r="C3" t="s">
        <v>67</v>
      </c>
      <c r="D3" t="s">
        <v>68</v>
      </c>
      <c r="E3" t="s">
        <v>64</v>
      </c>
      <c r="F3" t="s">
        <v>65</v>
      </c>
      <c r="G3">
        <v>60616</v>
      </c>
      <c r="H3">
        <v>12345</v>
      </c>
      <c r="I3">
        <v>4</v>
      </c>
      <c r="J3">
        <v>150000</v>
      </c>
    </row>
    <row r="4" spans="1:10" x14ac:dyDescent="0.25">
      <c r="A4" t="s">
        <v>130</v>
      </c>
      <c r="B4" t="s">
        <v>129</v>
      </c>
      <c r="C4" t="s">
        <v>67</v>
      </c>
      <c r="D4" t="s">
        <v>68</v>
      </c>
      <c r="E4" t="s">
        <v>69</v>
      </c>
      <c r="F4" t="s">
        <v>65</v>
      </c>
      <c r="G4">
        <v>61820</v>
      </c>
      <c r="H4">
        <v>12346</v>
      </c>
      <c r="I4">
        <v>4</v>
      </c>
      <c r="J4">
        <v>120000</v>
      </c>
    </row>
    <row r="5" spans="1:10" x14ac:dyDescent="0.25">
      <c r="A5" t="s">
        <v>70</v>
      </c>
      <c r="B5" t="s">
        <v>71</v>
      </c>
      <c r="C5" t="s">
        <v>72</v>
      </c>
      <c r="D5" t="s">
        <v>68</v>
      </c>
      <c r="E5" t="s">
        <v>73</v>
      </c>
      <c r="F5" t="s">
        <v>65</v>
      </c>
      <c r="G5">
        <v>61820</v>
      </c>
      <c r="H5">
        <v>12347</v>
      </c>
      <c r="I5">
        <v>4</v>
      </c>
      <c r="J5">
        <v>130000</v>
      </c>
    </row>
    <row r="6" spans="1:10" x14ac:dyDescent="0.25">
      <c r="A6" t="s">
        <v>74</v>
      </c>
      <c r="B6" t="s">
        <v>75</v>
      </c>
      <c r="C6" t="s">
        <v>72</v>
      </c>
      <c r="D6" t="s">
        <v>68</v>
      </c>
      <c r="E6" t="s">
        <v>76</v>
      </c>
      <c r="F6" t="s">
        <v>65</v>
      </c>
      <c r="G6">
        <v>61821</v>
      </c>
      <c r="H6">
        <v>12348</v>
      </c>
      <c r="I6">
        <v>4</v>
      </c>
      <c r="J6">
        <v>100000</v>
      </c>
    </row>
    <row r="7" spans="1:10" x14ac:dyDescent="0.25">
      <c r="A7" t="s">
        <v>77</v>
      </c>
      <c r="B7" t="s">
        <v>61</v>
      </c>
      <c r="C7" t="s">
        <v>67</v>
      </c>
      <c r="D7" t="s">
        <v>68</v>
      </c>
      <c r="E7" t="s">
        <v>64</v>
      </c>
      <c r="F7" t="s">
        <v>65</v>
      </c>
      <c r="G7">
        <v>60616</v>
      </c>
      <c r="H7">
        <v>12349</v>
      </c>
      <c r="I7">
        <v>4</v>
      </c>
      <c r="J7">
        <v>80000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ack_to_main">
                <anchor moveWithCells="1" sizeWithCells="1">
                  <from>
                    <xdr:col>0</xdr:col>
                    <xdr:colOff>819150</xdr:colOff>
                    <xdr:row>0</xdr:row>
                    <xdr:rowOff>9525</xdr:rowOff>
                  </from>
                  <to>
                    <xdr:col>2</xdr:col>
                    <xdr:colOff>95250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9"/>
  <sheetViews>
    <sheetView workbookViewId="0">
      <selection activeCell="H8" sqref="H8"/>
    </sheetView>
  </sheetViews>
  <sheetFormatPr defaultRowHeight="15" x14ac:dyDescent="0.25"/>
  <cols>
    <col min="1" max="1" width="12.85546875" customWidth="1"/>
    <col min="2" max="2" width="11" style="20" customWidth="1"/>
    <col min="4" max="4" width="9.140625" style="20"/>
    <col min="9" max="9" width="9.140625" hidden="1" customWidth="1"/>
    <col min="12" max="12" width="12.85546875" customWidth="1"/>
    <col min="14" max="14" width="17" customWidth="1"/>
  </cols>
  <sheetData>
    <row r="1" spans="1:14" ht="34.5" customHeight="1" x14ac:dyDescent="0.25">
      <c r="A1" t="s">
        <v>21</v>
      </c>
    </row>
    <row r="2" spans="1:14" s="1" customFormat="1" x14ac:dyDescent="0.25">
      <c r="A2" s="1" t="s">
        <v>22</v>
      </c>
      <c r="B2" s="21" t="s">
        <v>23</v>
      </c>
      <c r="C2" s="1" t="s">
        <v>24</v>
      </c>
      <c r="D2" s="21" t="s">
        <v>25</v>
      </c>
      <c r="E2" s="1" t="s">
        <v>26</v>
      </c>
      <c r="J2" s="1" t="s">
        <v>124</v>
      </c>
      <c r="L2" s="1" t="s">
        <v>125</v>
      </c>
      <c r="N2" s="1" t="s">
        <v>128</v>
      </c>
    </row>
    <row r="3" spans="1:14" x14ac:dyDescent="0.25">
      <c r="A3" t="s">
        <v>87</v>
      </c>
      <c r="B3" s="20">
        <v>0.01</v>
      </c>
      <c r="C3">
        <v>160</v>
      </c>
      <c r="D3" s="20">
        <f>B3*C3</f>
        <v>1.6</v>
      </c>
      <c r="I3">
        <f>ROUNDDOWN(C3/8,0)</f>
        <v>20</v>
      </c>
      <c r="J3">
        <f>MIN(I3:I9)</f>
        <v>20</v>
      </c>
      <c r="L3" s="20">
        <f>8*B3+B4+B5+4*B6+B7+B8+B9</f>
        <v>0.52</v>
      </c>
      <c r="N3" s="20">
        <f>SUM(D:D)</f>
        <v>2912.6</v>
      </c>
    </row>
    <row r="4" spans="1:14" x14ac:dyDescent="0.25">
      <c r="A4" t="s">
        <v>88</v>
      </c>
      <c r="B4" s="20">
        <v>0.05</v>
      </c>
      <c r="C4">
        <v>7100</v>
      </c>
      <c r="D4" s="20">
        <f t="shared" ref="D4:D9" si="0">B4*C4</f>
        <v>355</v>
      </c>
      <c r="I4">
        <f>C4</f>
        <v>7100</v>
      </c>
    </row>
    <row r="5" spans="1:14" x14ac:dyDescent="0.25">
      <c r="A5" t="s">
        <v>89</v>
      </c>
      <c r="B5" s="20">
        <v>0.1</v>
      </c>
      <c r="C5">
        <v>7100</v>
      </c>
      <c r="D5" s="20">
        <f t="shared" si="0"/>
        <v>710</v>
      </c>
      <c r="I5">
        <f t="shared" ref="I5:I9" si="1">C5</f>
        <v>7100</v>
      </c>
    </row>
    <row r="6" spans="1:14" x14ac:dyDescent="0.25">
      <c r="A6" t="s">
        <v>90</v>
      </c>
      <c r="B6" s="20">
        <v>0.01</v>
      </c>
      <c r="C6">
        <v>7100</v>
      </c>
      <c r="D6" s="20">
        <f t="shared" si="0"/>
        <v>71</v>
      </c>
      <c r="I6">
        <f>ROUNDDOWN(C6/4,0)</f>
        <v>1775</v>
      </c>
    </row>
    <row r="7" spans="1:14" x14ac:dyDescent="0.25">
      <c r="A7" t="s">
        <v>91</v>
      </c>
      <c r="B7" s="20">
        <v>0.1</v>
      </c>
      <c r="C7">
        <v>7100</v>
      </c>
      <c r="D7" s="20">
        <f t="shared" si="0"/>
        <v>710</v>
      </c>
      <c r="I7">
        <f t="shared" si="1"/>
        <v>7100</v>
      </c>
    </row>
    <row r="8" spans="1:14" x14ac:dyDescent="0.25">
      <c r="A8" t="s">
        <v>92</v>
      </c>
      <c r="B8" s="20">
        <v>0.1</v>
      </c>
      <c r="C8">
        <v>7100</v>
      </c>
      <c r="D8" s="20">
        <f t="shared" si="0"/>
        <v>710</v>
      </c>
      <c r="I8">
        <f t="shared" si="1"/>
        <v>7100</v>
      </c>
    </row>
    <row r="9" spans="1:14" x14ac:dyDescent="0.25">
      <c r="A9" t="s">
        <v>93</v>
      </c>
      <c r="B9" s="20">
        <v>0.05</v>
      </c>
      <c r="C9">
        <v>7100</v>
      </c>
      <c r="D9" s="20">
        <f t="shared" si="0"/>
        <v>355</v>
      </c>
      <c r="I9">
        <f t="shared" si="1"/>
        <v>7100</v>
      </c>
    </row>
  </sheetData>
  <pageMargins left="0.7" right="0.7" top="0.75" bottom="0.75" header="0.3" footer="0.3"/>
  <ignoredErrors>
    <ignoredError sqref="I6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ack_to_main">
                <anchor moveWithCells="1" sizeWithCells="1">
                  <from>
                    <xdr:col>1</xdr:col>
                    <xdr:colOff>104775</xdr:colOff>
                    <xdr:row>0</xdr:row>
                    <xdr:rowOff>57150</xdr:rowOff>
                  </from>
                  <to>
                    <xdr:col>2</xdr:col>
                    <xdr:colOff>171450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C3:N26"/>
  <sheetViews>
    <sheetView topLeftCell="A3" zoomScale="90" zoomScaleNormal="90" workbookViewId="0">
      <selection activeCell="K24" sqref="K24"/>
    </sheetView>
  </sheetViews>
  <sheetFormatPr defaultRowHeight="15" x14ac:dyDescent="0.25"/>
  <cols>
    <col min="3" max="3" width="29.140625" customWidth="1"/>
    <col min="5" max="5" width="14.28515625" style="20" customWidth="1"/>
    <col min="8" max="8" width="23.28515625" customWidth="1"/>
    <col min="9" max="9" width="12" style="20" bestFit="1" customWidth="1"/>
    <col min="11" max="11" width="27.7109375" customWidth="1"/>
    <col min="13" max="13" width="12" style="20" bestFit="1" customWidth="1"/>
  </cols>
  <sheetData>
    <row r="3" spans="3:14" ht="15.75" thickBot="1" x14ac:dyDescent="0.3"/>
    <row r="4" spans="3:14" x14ac:dyDescent="0.25">
      <c r="C4" s="10" t="s">
        <v>28</v>
      </c>
      <c r="D4" s="11"/>
      <c r="E4" s="25"/>
      <c r="F4" s="12"/>
      <c r="H4" s="10" t="s">
        <v>41</v>
      </c>
      <c r="I4" s="25"/>
      <c r="J4" s="12"/>
      <c r="K4" s="14" t="s">
        <v>50</v>
      </c>
      <c r="L4" s="11"/>
      <c r="M4" s="25"/>
      <c r="N4" s="12"/>
    </row>
    <row r="5" spans="3:14" x14ac:dyDescent="0.25">
      <c r="C5" s="3"/>
      <c r="D5" s="4"/>
      <c r="E5" s="26"/>
      <c r="F5" s="5"/>
      <c r="H5" s="3"/>
      <c r="I5" s="26"/>
      <c r="J5" s="5"/>
      <c r="K5" s="4"/>
      <c r="L5" s="4"/>
      <c r="M5" s="26"/>
      <c r="N5" s="5"/>
    </row>
    <row r="6" spans="3:14" x14ac:dyDescent="0.25">
      <c r="C6" s="3" t="s">
        <v>27</v>
      </c>
      <c r="D6" s="4"/>
      <c r="E6" s="26">
        <f>'Invoice History'!I2</f>
        <v>15710</v>
      </c>
      <c r="F6" s="5"/>
      <c r="H6" s="3" t="s">
        <v>42</v>
      </c>
      <c r="I6" s="26">
        <v>194813.69</v>
      </c>
      <c r="J6" s="5"/>
      <c r="K6" s="4" t="s">
        <v>51</v>
      </c>
      <c r="L6" s="4"/>
      <c r="M6" s="26">
        <f>'Purchase Order History '!I3</f>
        <v>326.51</v>
      </c>
      <c r="N6" s="5"/>
    </row>
    <row r="7" spans="3:14" x14ac:dyDescent="0.25">
      <c r="C7" s="3" t="s">
        <v>29</v>
      </c>
      <c r="D7" s="4"/>
      <c r="E7" s="26">
        <f>'Invoice History'!I3</f>
        <v>2033.2</v>
      </c>
      <c r="F7" s="5"/>
      <c r="H7" s="3" t="s">
        <v>43</v>
      </c>
      <c r="I7" s="26">
        <f>'Invoice History'!I2</f>
        <v>15710</v>
      </c>
      <c r="J7" s="5"/>
      <c r="K7" s="4" t="s">
        <v>52</v>
      </c>
      <c r="L7" s="4"/>
      <c r="M7" s="26"/>
      <c r="N7" s="5"/>
    </row>
    <row r="8" spans="3:14" x14ac:dyDescent="0.25">
      <c r="C8" s="3"/>
      <c r="D8" s="4"/>
      <c r="E8" s="26"/>
      <c r="F8" s="5"/>
      <c r="H8" s="3" t="s">
        <v>21</v>
      </c>
      <c r="I8" s="26">
        <f>Inventory!N3</f>
        <v>2912.6</v>
      </c>
      <c r="J8" s="5"/>
      <c r="K8" s="4" t="s">
        <v>53</v>
      </c>
      <c r="L8" s="4"/>
      <c r="M8" s="26"/>
      <c r="N8" s="5"/>
    </row>
    <row r="9" spans="3:14" x14ac:dyDescent="0.25">
      <c r="C9" s="6" t="s">
        <v>30</v>
      </c>
      <c r="D9" s="4"/>
      <c r="E9" s="21">
        <f>E6-E7</f>
        <v>13676.8</v>
      </c>
      <c r="F9" s="5"/>
      <c r="H9" s="6" t="s">
        <v>44</v>
      </c>
      <c r="I9" s="21">
        <f>I6+I7+I8</f>
        <v>213436.29</v>
      </c>
      <c r="J9" s="5"/>
      <c r="K9" s="13" t="s">
        <v>54</v>
      </c>
      <c r="L9" s="4"/>
      <c r="M9" s="21">
        <f>M6+M7+M8</f>
        <v>326.51</v>
      </c>
      <c r="N9" s="5"/>
    </row>
    <row r="10" spans="3:14" x14ac:dyDescent="0.25">
      <c r="C10" s="3"/>
      <c r="D10" s="4"/>
      <c r="E10" s="26"/>
      <c r="F10" s="5"/>
      <c r="H10" s="3"/>
      <c r="I10" s="26"/>
      <c r="J10" s="5"/>
      <c r="K10" s="4"/>
      <c r="L10" s="4"/>
      <c r="M10" s="26"/>
      <c r="N10" s="5"/>
    </row>
    <row r="11" spans="3:14" x14ac:dyDescent="0.25">
      <c r="C11" s="3"/>
      <c r="D11" s="4"/>
      <c r="E11" s="26"/>
      <c r="F11" s="5"/>
      <c r="H11" s="3"/>
      <c r="I11" s="26"/>
      <c r="J11" s="5"/>
      <c r="K11" s="4"/>
      <c r="L11" s="4"/>
      <c r="M11" s="26"/>
      <c r="N11" s="5"/>
    </row>
    <row r="12" spans="3:14" x14ac:dyDescent="0.25">
      <c r="C12" s="3"/>
      <c r="D12" s="4"/>
      <c r="E12" s="26"/>
      <c r="F12" s="5"/>
      <c r="H12" s="3" t="s">
        <v>45</v>
      </c>
      <c r="I12" s="26"/>
      <c r="J12" s="5"/>
      <c r="K12" s="4" t="s">
        <v>55</v>
      </c>
      <c r="L12" s="4"/>
      <c r="M12" s="26"/>
      <c r="N12" s="5"/>
    </row>
    <row r="13" spans="3:14" x14ac:dyDescent="0.25">
      <c r="C13" s="6" t="s">
        <v>31</v>
      </c>
      <c r="D13" s="4"/>
      <c r="E13" s="26"/>
      <c r="F13" s="5"/>
      <c r="H13" s="3" t="s">
        <v>46</v>
      </c>
      <c r="I13" s="26"/>
      <c r="J13" s="5"/>
      <c r="K13" s="13" t="s">
        <v>56</v>
      </c>
      <c r="L13" s="4"/>
      <c r="M13" s="21">
        <f>M12</f>
        <v>0</v>
      </c>
      <c r="N13" s="5"/>
    </row>
    <row r="14" spans="3:14" x14ac:dyDescent="0.25">
      <c r="C14" s="3" t="s">
        <v>32</v>
      </c>
      <c r="D14" s="4"/>
      <c r="E14" s="26">
        <f>'Payroll History'!J2</f>
        <v>0</v>
      </c>
      <c r="F14" s="5"/>
      <c r="H14" s="3" t="s">
        <v>47</v>
      </c>
      <c r="I14" s="26"/>
      <c r="J14" s="5"/>
      <c r="K14" s="4"/>
      <c r="L14" s="4"/>
      <c r="M14" s="26"/>
      <c r="N14" s="5"/>
    </row>
    <row r="15" spans="3:14" x14ac:dyDescent="0.25">
      <c r="C15" s="3" t="s">
        <v>33</v>
      </c>
      <c r="D15" s="4"/>
      <c r="E15" s="26">
        <f>'Payroll History'!J3</f>
        <v>0</v>
      </c>
      <c r="F15" s="5"/>
      <c r="H15" s="6" t="s">
        <v>48</v>
      </c>
      <c r="I15" s="21">
        <f>I12+I13+I14</f>
        <v>0</v>
      </c>
      <c r="J15" s="5"/>
      <c r="K15" s="13" t="s">
        <v>57</v>
      </c>
      <c r="L15" s="4"/>
      <c r="M15" s="21">
        <f>M13+M9</f>
        <v>326.51</v>
      </c>
      <c r="N15" s="5"/>
    </row>
    <row r="16" spans="3:14" x14ac:dyDescent="0.25">
      <c r="C16" s="3" t="s">
        <v>34</v>
      </c>
      <c r="D16" s="4"/>
      <c r="E16" s="26"/>
      <c r="F16" s="5"/>
      <c r="H16" s="3"/>
      <c r="I16" s="26"/>
      <c r="J16" s="5"/>
      <c r="K16" s="4"/>
      <c r="L16" s="4"/>
      <c r="M16" s="26"/>
      <c r="N16" s="5"/>
    </row>
    <row r="17" spans="3:14" x14ac:dyDescent="0.25">
      <c r="C17" s="3" t="s">
        <v>35</v>
      </c>
      <c r="D17" s="4"/>
      <c r="E17" s="26"/>
      <c r="F17" s="5"/>
      <c r="H17" s="3"/>
      <c r="I17" s="26"/>
      <c r="J17" s="5"/>
      <c r="K17" s="4"/>
      <c r="L17" s="4"/>
      <c r="M17" s="26"/>
      <c r="N17" s="5"/>
    </row>
    <row r="18" spans="3:14" x14ac:dyDescent="0.25">
      <c r="C18" s="6" t="s">
        <v>36</v>
      </c>
      <c r="D18" s="4"/>
      <c r="E18" s="21">
        <f>E14+E15+E17+E16</f>
        <v>0</v>
      </c>
      <c r="F18" s="5"/>
      <c r="H18" s="3"/>
      <c r="I18" s="26"/>
      <c r="J18" s="5"/>
      <c r="K18" s="13" t="s">
        <v>58</v>
      </c>
      <c r="L18" s="4"/>
      <c r="M18" s="21">
        <f>I19-M15</f>
        <v>213109.78</v>
      </c>
      <c r="N18" s="5"/>
    </row>
    <row r="19" spans="3:14" x14ac:dyDescent="0.25">
      <c r="C19" s="3"/>
      <c r="D19" s="4"/>
      <c r="E19" s="26"/>
      <c r="F19" s="5"/>
      <c r="H19" s="6" t="s">
        <v>49</v>
      </c>
      <c r="I19" s="21">
        <f>I9+I15</f>
        <v>213436.29</v>
      </c>
      <c r="J19" s="5"/>
      <c r="K19" s="13" t="s">
        <v>59</v>
      </c>
      <c r="L19" s="4"/>
      <c r="M19" s="21">
        <f>M15+M18</f>
        <v>213436.29</v>
      </c>
      <c r="N19" s="5"/>
    </row>
    <row r="20" spans="3:14" ht="15.75" thickBot="1" x14ac:dyDescent="0.3">
      <c r="C20" s="3"/>
      <c r="D20" s="4"/>
      <c r="E20" s="26"/>
      <c r="F20" s="5"/>
      <c r="H20" s="7"/>
      <c r="I20" s="27"/>
      <c r="J20" s="9"/>
      <c r="K20" s="8"/>
      <c r="L20" s="8"/>
      <c r="M20" s="27"/>
      <c r="N20" s="9"/>
    </row>
    <row r="21" spans="3:14" x14ac:dyDescent="0.25">
      <c r="C21" s="6"/>
      <c r="D21" s="4"/>
      <c r="E21" s="26"/>
      <c r="F21" s="5"/>
    </row>
    <row r="22" spans="3:14" x14ac:dyDescent="0.25">
      <c r="C22" s="3" t="s">
        <v>37</v>
      </c>
      <c r="D22" s="4"/>
      <c r="E22" s="26"/>
      <c r="F22" s="5"/>
    </row>
    <row r="23" spans="3:14" x14ac:dyDescent="0.25">
      <c r="C23" s="3" t="s">
        <v>38</v>
      </c>
      <c r="D23" s="4"/>
      <c r="E23" s="26">
        <f>E9-E18</f>
        <v>13676.8</v>
      </c>
      <c r="F23" s="5"/>
    </row>
    <row r="24" spans="3:14" x14ac:dyDescent="0.25">
      <c r="C24" s="3" t="s">
        <v>39</v>
      </c>
      <c r="D24" s="4"/>
      <c r="E24" s="26">
        <f>IF(E23&lt;0,0,0.4*E23)</f>
        <v>5470.72</v>
      </c>
      <c r="F24" s="5"/>
    </row>
    <row r="25" spans="3:14" x14ac:dyDescent="0.25">
      <c r="C25" s="3" t="s">
        <v>40</v>
      </c>
      <c r="D25" s="4"/>
      <c r="E25" s="26">
        <f>E23-E24</f>
        <v>8206.0799999999981</v>
      </c>
      <c r="F25" s="5"/>
    </row>
    <row r="26" spans="3:14" ht="15.75" thickBot="1" x14ac:dyDescent="0.3">
      <c r="C26" s="7"/>
      <c r="D26" s="8"/>
      <c r="E26" s="27"/>
      <c r="F26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ack_to_main">
                <anchor moveWithCells="1" sizeWithCells="1">
                  <from>
                    <xdr:col>6</xdr:col>
                    <xdr:colOff>609600</xdr:colOff>
                    <xdr:row>22</xdr:row>
                    <xdr:rowOff>19050</xdr:rowOff>
                  </from>
                  <to>
                    <xdr:col>7</xdr:col>
                    <xdr:colOff>1066800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I724"/>
  <sheetViews>
    <sheetView workbookViewId="0">
      <selection activeCell="E11" sqref="E11"/>
    </sheetView>
  </sheetViews>
  <sheetFormatPr defaultRowHeight="15" x14ac:dyDescent="0.25"/>
  <cols>
    <col min="2" max="2" width="19.28515625" customWidth="1"/>
    <col min="3" max="3" width="11.7109375" customWidth="1"/>
    <col min="6" max="6" width="11.42578125" style="20" customWidth="1"/>
    <col min="7" max="7" width="9.140625" style="20"/>
    <col min="9" max="9" width="20" customWidth="1"/>
  </cols>
  <sheetData>
    <row r="1" spans="1:9" ht="40.5" customHeight="1" x14ac:dyDescent="0.25">
      <c r="A1" s="2" t="s">
        <v>103</v>
      </c>
    </row>
    <row r="2" spans="1:9" s="1" customFormat="1" x14ac:dyDescent="0.25">
      <c r="A2" s="1" t="s">
        <v>104</v>
      </c>
      <c r="B2" s="1" t="s">
        <v>105</v>
      </c>
      <c r="C2" s="1" t="s">
        <v>106</v>
      </c>
      <c r="D2" s="1" t="s">
        <v>17</v>
      </c>
      <c r="E2" s="1" t="s">
        <v>24</v>
      </c>
      <c r="F2" s="21" t="s">
        <v>107</v>
      </c>
      <c r="G2" s="21" t="s">
        <v>108</v>
      </c>
      <c r="I2" s="1" t="s">
        <v>127</v>
      </c>
    </row>
    <row r="3" spans="1:9" x14ac:dyDescent="0.25">
      <c r="A3">
        <v>1</v>
      </c>
      <c r="C3" t="s">
        <v>99</v>
      </c>
      <c r="D3" t="s">
        <v>92</v>
      </c>
      <c r="E3">
        <v>10</v>
      </c>
      <c r="F3" s="20">
        <v>0.1</v>
      </c>
      <c r="G3" s="20">
        <f>IF(F3&lt;&gt;"",E3*F3,"")</f>
        <v>1</v>
      </c>
      <c r="I3" s="20">
        <f>SUM(G:G)</f>
        <v>326.51</v>
      </c>
    </row>
    <row r="4" spans="1:9" x14ac:dyDescent="0.25">
      <c r="A4">
        <v>2</v>
      </c>
      <c r="C4" t="s">
        <v>98</v>
      </c>
      <c r="D4" t="s">
        <v>91</v>
      </c>
      <c r="E4">
        <v>32</v>
      </c>
      <c r="F4" s="20">
        <v>0.1</v>
      </c>
      <c r="G4" s="20">
        <f t="shared" ref="G4:G66" si="0">IF(F4&lt;&gt;"",E4*F4,"")</f>
        <v>3.2</v>
      </c>
    </row>
    <row r="5" spans="1:9" x14ac:dyDescent="0.25">
      <c r="A5">
        <v>3</v>
      </c>
      <c r="B5" s="15">
        <v>42470.978692129633</v>
      </c>
      <c r="C5" t="s">
        <v>99</v>
      </c>
      <c r="D5" t="s">
        <v>92</v>
      </c>
      <c r="E5">
        <v>22</v>
      </c>
      <c r="F5" s="20">
        <v>0.1</v>
      </c>
      <c r="G5" s="20">
        <f t="shared" si="0"/>
        <v>2.2000000000000002</v>
      </c>
    </row>
    <row r="6" spans="1:9" x14ac:dyDescent="0.25">
      <c r="A6">
        <v>4</v>
      </c>
      <c r="B6" s="15">
        <v>42470.979629629626</v>
      </c>
      <c r="C6" t="s">
        <v>97</v>
      </c>
      <c r="D6" t="s">
        <v>90</v>
      </c>
      <c r="E6">
        <v>11</v>
      </c>
      <c r="F6" s="20">
        <v>0.01</v>
      </c>
      <c r="G6" s="20">
        <f t="shared" si="0"/>
        <v>0.11</v>
      </c>
    </row>
    <row r="7" spans="1:9" x14ac:dyDescent="0.25">
      <c r="A7">
        <v>5</v>
      </c>
      <c r="B7" s="15">
        <v>42471.01798611111</v>
      </c>
      <c r="C7" t="s">
        <v>94</v>
      </c>
      <c r="D7" t="s">
        <v>87</v>
      </c>
      <c r="E7">
        <v>2000</v>
      </c>
      <c r="F7" s="20">
        <v>0.01</v>
      </c>
      <c r="G7" s="20">
        <f t="shared" si="0"/>
        <v>20</v>
      </c>
    </row>
    <row r="8" spans="1:9" x14ac:dyDescent="0.25">
      <c r="A8">
        <v>6</v>
      </c>
      <c r="B8" s="15">
        <v>42471.027905092589</v>
      </c>
      <c r="C8" t="s">
        <v>94</v>
      </c>
      <c r="D8" t="s">
        <v>87</v>
      </c>
      <c r="E8">
        <v>10000</v>
      </c>
      <c r="F8" s="20">
        <v>0.01</v>
      </c>
      <c r="G8" s="20">
        <f t="shared" si="0"/>
        <v>100</v>
      </c>
    </row>
    <row r="9" spans="1:9" x14ac:dyDescent="0.25">
      <c r="A9">
        <v>7</v>
      </c>
      <c r="B9" s="15">
        <v>42477.806168981479</v>
      </c>
      <c r="C9" t="s">
        <v>94</v>
      </c>
      <c r="D9" t="s">
        <v>87</v>
      </c>
      <c r="E9">
        <v>10000</v>
      </c>
      <c r="F9" s="20">
        <v>0.01</v>
      </c>
      <c r="G9" s="20">
        <f t="shared" si="0"/>
        <v>100</v>
      </c>
    </row>
    <row r="10" spans="1:9" x14ac:dyDescent="0.25">
      <c r="A10">
        <v>8</v>
      </c>
      <c r="B10" s="15">
        <v>42477.806701388887</v>
      </c>
      <c r="C10" t="s">
        <v>94</v>
      </c>
      <c r="D10" t="s">
        <v>87</v>
      </c>
      <c r="E10">
        <v>10000</v>
      </c>
      <c r="F10" s="20">
        <v>0.01</v>
      </c>
      <c r="G10" s="20">
        <f t="shared" si="0"/>
        <v>100</v>
      </c>
    </row>
    <row r="11" spans="1:9" x14ac:dyDescent="0.25">
      <c r="G11" s="20" t="str">
        <f t="shared" si="0"/>
        <v/>
      </c>
    </row>
    <row r="12" spans="1:9" x14ac:dyDescent="0.25">
      <c r="G12" s="20" t="str">
        <f t="shared" si="0"/>
        <v/>
      </c>
    </row>
    <row r="13" spans="1:9" x14ac:dyDescent="0.25">
      <c r="G13" s="20" t="str">
        <f t="shared" si="0"/>
        <v/>
      </c>
    </row>
    <row r="14" spans="1:9" x14ac:dyDescent="0.25">
      <c r="G14" s="20" t="str">
        <f t="shared" si="0"/>
        <v/>
      </c>
    </row>
    <row r="15" spans="1:9" x14ac:dyDescent="0.25">
      <c r="G15" s="20" t="str">
        <f t="shared" si="0"/>
        <v/>
      </c>
    </row>
    <row r="16" spans="1:9" x14ac:dyDescent="0.25">
      <c r="G16" s="20" t="str">
        <f t="shared" si="0"/>
        <v/>
      </c>
    </row>
    <row r="17" spans="7:7" x14ac:dyDescent="0.25">
      <c r="G17" s="20" t="str">
        <f t="shared" si="0"/>
        <v/>
      </c>
    </row>
    <row r="18" spans="7:7" x14ac:dyDescent="0.25">
      <c r="G18" s="20" t="str">
        <f t="shared" si="0"/>
        <v/>
      </c>
    </row>
    <row r="19" spans="7:7" x14ac:dyDescent="0.25">
      <c r="G19" s="20" t="str">
        <f t="shared" si="0"/>
        <v/>
      </c>
    </row>
    <row r="20" spans="7:7" x14ac:dyDescent="0.25">
      <c r="G20" s="20" t="str">
        <f t="shared" si="0"/>
        <v/>
      </c>
    </row>
    <row r="21" spans="7:7" x14ac:dyDescent="0.25">
      <c r="G21" s="20" t="str">
        <f t="shared" si="0"/>
        <v/>
      </c>
    </row>
    <row r="22" spans="7:7" x14ac:dyDescent="0.25">
      <c r="G22" s="20" t="str">
        <f t="shared" si="0"/>
        <v/>
      </c>
    </row>
    <row r="23" spans="7:7" x14ac:dyDescent="0.25">
      <c r="G23" s="20" t="str">
        <f t="shared" si="0"/>
        <v/>
      </c>
    </row>
    <row r="24" spans="7:7" x14ac:dyDescent="0.25">
      <c r="G24" s="20" t="str">
        <f t="shared" si="0"/>
        <v/>
      </c>
    </row>
    <row r="25" spans="7:7" x14ac:dyDescent="0.25">
      <c r="G25" s="20" t="str">
        <f t="shared" si="0"/>
        <v/>
      </c>
    </row>
    <row r="26" spans="7:7" x14ac:dyDescent="0.25">
      <c r="G26" s="20" t="str">
        <f t="shared" si="0"/>
        <v/>
      </c>
    </row>
    <row r="27" spans="7:7" x14ac:dyDescent="0.25">
      <c r="G27" s="20" t="str">
        <f t="shared" si="0"/>
        <v/>
      </c>
    </row>
    <row r="28" spans="7:7" x14ac:dyDescent="0.25">
      <c r="G28" s="20" t="str">
        <f t="shared" si="0"/>
        <v/>
      </c>
    </row>
    <row r="29" spans="7:7" x14ac:dyDescent="0.25">
      <c r="G29" s="20" t="str">
        <f t="shared" si="0"/>
        <v/>
      </c>
    </row>
    <row r="30" spans="7:7" x14ac:dyDescent="0.25">
      <c r="G30" s="20" t="str">
        <f t="shared" si="0"/>
        <v/>
      </c>
    </row>
    <row r="31" spans="7:7" x14ac:dyDescent="0.25">
      <c r="G31" s="20" t="str">
        <f t="shared" si="0"/>
        <v/>
      </c>
    </row>
    <row r="32" spans="7:7" x14ac:dyDescent="0.25">
      <c r="G32" s="20" t="str">
        <f t="shared" si="0"/>
        <v/>
      </c>
    </row>
    <row r="33" spans="7:7" x14ac:dyDescent="0.25">
      <c r="G33" s="20" t="str">
        <f t="shared" si="0"/>
        <v/>
      </c>
    </row>
    <row r="34" spans="7:7" x14ac:dyDescent="0.25">
      <c r="G34" s="20" t="str">
        <f t="shared" si="0"/>
        <v/>
      </c>
    </row>
    <row r="35" spans="7:7" x14ac:dyDescent="0.25">
      <c r="G35" s="20" t="str">
        <f t="shared" si="0"/>
        <v/>
      </c>
    </row>
    <row r="36" spans="7:7" x14ac:dyDescent="0.25">
      <c r="G36" s="20" t="str">
        <f t="shared" si="0"/>
        <v/>
      </c>
    </row>
    <row r="37" spans="7:7" x14ac:dyDescent="0.25">
      <c r="G37" s="20" t="str">
        <f t="shared" si="0"/>
        <v/>
      </c>
    </row>
    <row r="38" spans="7:7" x14ac:dyDescent="0.25">
      <c r="G38" s="20" t="str">
        <f t="shared" si="0"/>
        <v/>
      </c>
    </row>
    <row r="39" spans="7:7" x14ac:dyDescent="0.25">
      <c r="G39" s="20" t="str">
        <f t="shared" si="0"/>
        <v/>
      </c>
    </row>
    <row r="40" spans="7:7" x14ac:dyDescent="0.25">
      <c r="G40" s="20" t="str">
        <f t="shared" si="0"/>
        <v/>
      </c>
    </row>
    <row r="41" spans="7:7" x14ac:dyDescent="0.25">
      <c r="G41" s="20" t="str">
        <f t="shared" si="0"/>
        <v/>
      </c>
    </row>
    <row r="42" spans="7:7" x14ac:dyDescent="0.25">
      <c r="G42" s="20" t="str">
        <f t="shared" si="0"/>
        <v/>
      </c>
    </row>
    <row r="43" spans="7:7" x14ac:dyDescent="0.25">
      <c r="G43" s="20" t="str">
        <f t="shared" si="0"/>
        <v/>
      </c>
    </row>
    <row r="44" spans="7:7" x14ac:dyDescent="0.25">
      <c r="G44" s="20" t="str">
        <f t="shared" si="0"/>
        <v/>
      </c>
    </row>
    <row r="45" spans="7:7" x14ac:dyDescent="0.25">
      <c r="G45" s="20" t="str">
        <f t="shared" si="0"/>
        <v/>
      </c>
    </row>
    <row r="46" spans="7:7" x14ac:dyDescent="0.25">
      <c r="G46" s="20" t="str">
        <f t="shared" si="0"/>
        <v/>
      </c>
    </row>
    <row r="47" spans="7:7" x14ac:dyDescent="0.25">
      <c r="G47" s="20" t="str">
        <f t="shared" si="0"/>
        <v/>
      </c>
    </row>
    <row r="48" spans="7:7" x14ac:dyDescent="0.25">
      <c r="G48" s="20" t="str">
        <f t="shared" si="0"/>
        <v/>
      </c>
    </row>
    <row r="49" spans="7:7" x14ac:dyDescent="0.25">
      <c r="G49" s="20" t="str">
        <f t="shared" si="0"/>
        <v/>
      </c>
    </row>
    <row r="50" spans="7:7" x14ac:dyDescent="0.25">
      <c r="G50" s="20" t="str">
        <f t="shared" si="0"/>
        <v/>
      </c>
    </row>
    <row r="51" spans="7:7" x14ac:dyDescent="0.25">
      <c r="G51" s="20" t="str">
        <f t="shared" si="0"/>
        <v/>
      </c>
    </row>
    <row r="52" spans="7:7" x14ac:dyDescent="0.25">
      <c r="G52" s="20" t="str">
        <f t="shared" si="0"/>
        <v/>
      </c>
    </row>
    <row r="53" spans="7:7" x14ac:dyDescent="0.25">
      <c r="G53" s="20" t="str">
        <f t="shared" si="0"/>
        <v/>
      </c>
    </row>
    <row r="54" spans="7:7" x14ac:dyDescent="0.25">
      <c r="G54" s="20" t="str">
        <f t="shared" si="0"/>
        <v/>
      </c>
    </row>
    <row r="55" spans="7:7" x14ac:dyDescent="0.25">
      <c r="G55" s="20" t="str">
        <f t="shared" si="0"/>
        <v/>
      </c>
    </row>
    <row r="56" spans="7:7" x14ac:dyDescent="0.25">
      <c r="G56" s="20" t="str">
        <f t="shared" si="0"/>
        <v/>
      </c>
    </row>
    <row r="57" spans="7:7" x14ac:dyDescent="0.25">
      <c r="G57" s="20" t="str">
        <f t="shared" si="0"/>
        <v/>
      </c>
    </row>
    <row r="58" spans="7:7" x14ac:dyDescent="0.25">
      <c r="G58" s="20" t="str">
        <f t="shared" si="0"/>
        <v/>
      </c>
    </row>
    <row r="59" spans="7:7" x14ac:dyDescent="0.25">
      <c r="G59" s="20" t="str">
        <f t="shared" si="0"/>
        <v/>
      </c>
    </row>
    <row r="60" spans="7:7" x14ac:dyDescent="0.25">
      <c r="G60" s="20" t="str">
        <f t="shared" si="0"/>
        <v/>
      </c>
    </row>
    <row r="61" spans="7:7" x14ac:dyDescent="0.25">
      <c r="G61" s="20" t="str">
        <f t="shared" si="0"/>
        <v/>
      </c>
    </row>
    <row r="62" spans="7:7" x14ac:dyDescent="0.25">
      <c r="G62" s="20" t="str">
        <f t="shared" si="0"/>
        <v/>
      </c>
    </row>
    <row r="63" spans="7:7" x14ac:dyDescent="0.25">
      <c r="G63" s="20" t="str">
        <f t="shared" si="0"/>
        <v/>
      </c>
    </row>
    <row r="64" spans="7:7" x14ac:dyDescent="0.25">
      <c r="G64" s="20" t="str">
        <f t="shared" si="0"/>
        <v/>
      </c>
    </row>
    <row r="65" spans="7:7" x14ac:dyDescent="0.25">
      <c r="G65" s="20" t="str">
        <f t="shared" si="0"/>
        <v/>
      </c>
    </row>
    <row r="66" spans="7:7" x14ac:dyDescent="0.25">
      <c r="G66" s="20" t="str">
        <f t="shared" si="0"/>
        <v/>
      </c>
    </row>
    <row r="67" spans="7:7" x14ac:dyDescent="0.25">
      <c r="G67" s="20" t="str">
        <f t="shared" ref="G67:G130" si="1">IF(F67&lt;&gt;"",E67*F67,"")</f>
        <v/>
      </c>
    </row>
    <row r="68" spans="7:7" x14ac:dyDescent="0.25">
      <c r="G68" s="20" t="str">
        <f t="shared" si="1"/>
        <v/>
      </c>
    </row>
    <row r="69" spans="7:7" x14ac:dyDescent="0.25">
      <c r="G69" s="20" t="str">
        <f t="shared" si="1"/>
        <v/>
      </c>
    </row>
    <row r="70" spans="7:7" x14ac:dyDescent="0.25">
      <c r="G70" s="20" t="str">
        <f t="shared" si="1"/>
        <v/>
      </c>
    </row>
    <row r="71" spans="7:7" x14ac:dyDescent="0.25">
      <c r="G71" s="20" t="str">
        <f t="shared" si="1"/>
        <v/>
      </c>
    </row>
    <row r="72" spans="7:7" x14ac:dyDescent="0.25">
      <c r="G72" s="20" t="str">
        <f t="shared" si="1"/>
        <v/>
      </c>
    </row>
    <row r="73" spans="7:7" x14ac:dyDescent="0.25">
      <c r="G73" s="20" t="str">
        <f t="shared" si="1"/>
        <v/>
      </c>
    </row>
    <row r="74" spans="7:7" x14ac:dyDescent="0.25">
      <c r="G74" s="20" t="str">
        <f t="shared" si="1"/>
        <v/>
      </c>
    </row>
    <row r="75" spans="7:7" x14ac:dyDescent="0.25">
      <c r="G75" s="20" t="str">
        <f t="shared" si="1"/>
        <v/>
      </c>
    </row>
    <row r="76" spans="7:7" x14ac:dyDescent="0.25">
      <c r="G76" s="20" t="str">
        <f t="shared" si="1"/>
        <v/>
      </c>
    </row>
    <row r="77" spans="7:7" x14ac:dyDescent="0.25">
      <c r="G77" s="20" t="str">
        <f t="shared" si="1"/>
        <v/>
      </c>
    </row>
    <row r="78" spans="7:7" x14ac:dyDescent="0.25">
      <c r="G78" s="20" t="str">
        <f t="shared" si="1"/>
        <v/>
      </c>
    </row>
    <row r="79" spans="7:7" x14ac:dyDescent="0.25">
      <c r="G79" s="20" t="str">
        <f t="shared" si="1"/>
        <v/>
      </c>
    </row>
    <row r="80" spans="7:7" x14ac:dyDescent="0.25">
      <c r="G80" s="20" t="str">
        <f t="shared" si="1"/>
        <v/>
      </c>
    </row>
    <row r="81" spans="7:7" x14ac:dyDescent="0.25">
      <c r="G81" s="20" t="str">
        <f t="shared" si="1"/>
        <v/>
      </c>
    </row>
    <row r="82" spans="7:7" x14ac:dyDescent="0.25">
      <c r="G82" s="20" t="str">
        <f t="shared" si="1"/>
        <v/>
      </c>
    </row>
    <row r="83" spans="7:7" x14ac:dyDescent="0.25">
      <c r="G83" s="20" t="str">
        <f t="shared" si="1"/>
        <v/>
      </c>
    </row>
    <row r="84" spans="7:7" x14ac:dyDescent="0.25">
      <c r="G84" s="20" t="str">
        <f t="shared" si="1"/>
        <v/>
      </c>
    </row>
    <row r="85" spans="7:7" x14ac:dyDescent="0.25">
      <c r="G85" s="20" t="str">
        <f t="shared" si="1"/>
        <v/>
      </c>
    </row>
    <row r="86" spans="7:7" x14ac:dyDescent="0.25">
      <c r="G86" s="20" t="str">
        <f t="shared" si="1"/>
        <v/>
      </c>
    </row>
    <row r="87" spans="7:7" x14ac:dyDescent="0.25">
      <c r="G87" s="20" t="str">
        <f t="shared" si="1"/>
        <v/>
      </c>
    </row>
    <row r="88" spans="7:7" x14ac:dyDescent="0.25">
      <c r="G88" s="20" t="str">
        <f t="shared" si="1"/>
        <v/>
      </c>
    </row>
    <row r="89" spans="7:7" x14ac:dyDescent="0.25">
      <c r="G89" s="20" t="str">
        <f t="shared" si="1"/>
        <v/>
      </c>
    </row>
    <row r="90" spans="7:7" x14ac:dyDescent="0.25">
      <c r="G90" s="20" t="str">
        <f t="shared" si="1"/>
        <v/>
      </c>
    </row>
    <row r="91" spans="7:7" x14ac:dyDescent="0.25">
      <c r="G91" s="20" t="str">
        <f t="shared" si="1"/>
        <v/>
      </c>
    </row>
    <row r="92" spans="7:7" x14ac:dyDescent="0.25">
      <c r="G92" s="20" t="str">
        <f t="shared" si="1"/>
        <v/>
      </c>
    </row>
    <row r="93" spans="7:7" x14ac:dyDescent="0.25">
      <c r="G93" s="20" t="str">
        <f t="shared" si="1"/>
        <v/>
      </c>
    </row>
    <row r="94" spans="7:7" x14ac:dyDescent="0.25">
      <c r="G94" s="20" t="str">
        <f t="shared" si="1"/>
        <v/>
      </c>
    </row>
    <row r="95" spans="7:7" x14ac:dyDescent="0.25">
      <c r="G95" s="20" t="str">
        <f t="shared" si="1"/>
        <v/>
      </c>
    </row>
    <row r="96" spans="7:7" x14ac:dyDescent="0.25">
      <c r="G96" s="20" t="str">
        <f t="shared" si="1"/>
        <v/>
      </c>
    </row>
    <row r="97" spans="7:7" x14ac:dyDescent="0.25">
      <c r="G97" s="20" t="str">
        <f t="shared" si="1"/>
        <v/>
      </c>
    </row>
    <row r="98" spans="7:7" x14ac:dyDescent="0.25">
      <c r="G98" s="20" t="str">
        <f t="shared" si="1"/>
        <v/>
      </c>
    </row>
    <row r="99" spans="7:7" x14ac:dyDescent="0.25">
      <c r="G99" s="20" t="str">
        <f t="shared" si="1"/>
        <v/>
      </c>
    </row>
    <row r="100" spans="7:7" x14ac:dyDescent="0.25">
      <c r="G100" s="20" t="str">
        <f t="shared" si="1"/>
        <v/>
      </c>
    </row>
    <row r="101" spans="7:7" x14ac:dyDescent="0.25">
      <c r="G101" s="20" t="str">
        <f t="shared" si="1"/>
        <v/>
      </c>
    </row>
    <row r="102" spans="7:7" x14ac:dyDescent="0.25">
      <c r="G102" s="20" t="str">
        <f t="shared" si="1"/>
        <v/>
      </c>
    </row>
    <row r="103" spans="7:7" x14ac:dyDescent="0.25">
      <c r="G103" s="20" t="str">
        <f t="shared" si="1"/>
        <v/>
      </c>
    </row>
    <row r="104" spans="7:7" x14ac:dyDescent="0.25">
      <c r="G104" s="20" t="str">
        <f t="shared" si="1"/>
        <v/>
      </c>
    </row>
    <row r="105" spans="7:7" x14ac:dyDescent="0.25">
      <c r="G105" s="20" t="str">
        <f t="shared" si="1"/>
        <v/>
      </c>
    </row>
    <row r="106" spans="7:7" x14ac:dyDescent="0.25">
      <c r="G106" s="20" t="str">
        <f t="shared" si="1"/>
        <v/>
      </c>
    </row>
    <row r="107" spans="7:7" x14ac:dyDescent="0.25">
      <c r="G107" s="20" t="str">
        <f t="shared" si="1"/>
        <v/>
      </c>
    </row>
    <row r="108" spans="7:7" x14ac:dyDescent="0.25">
      <c r="G108" s="20" t="str">
        <f t="shared" si="1"/>
        <v/>
      </c>
    </row>
    <row r="109" spans="7:7" x14ac:dyDescent="0.25">
      <c r="G109" s="20" t="str">
        <f t="shared" si="1"/>
        <v/>
      </c>
    </row>
    <row r="110" spans="7:7" x14ac:dyDescent="0.25">
      <c r="G110" s="20" t="str">
        <f t="shared" si="1"/>
        <v/>
      </c>
    </row>
    <row r="111" spans="7:7" x14ac:dyDescent="0.25">
      <c r="G111" s="20" t="str">
        <f t="shared" si="1"/>
        <v/>
      </c>
    </row>
    <row r="112" spans="7:7" x14ac:dyDescent="0.25">
      <c r="G112" s="20" t="str">
        <f t="shared" si="1"/>
        <v/>
      </c>
    </row>
    <row r="113" spans="7:7" x14ac:dyDescent="0.25">
      <c r="G113" s="20" t="str">
        <f t="shared" si="1"/>
        <v/>
      </c>
    </row>
    <row r="114" spans="7:7" x14ac:dyDescent="0.25">
      <c r="G114" s="20" t="str">
        <f t="shared" si="1"/>
        <v/>
      </c>
    </row>
    <row r="115" spans="7:7" x14ac:dyDescent="0.25">
      <c r="G115" s="20" t="str">
        <f t="shared" si="1"/>
        <v/>
      </c>
    </row>
    <row r="116" spans="7:7" x14ac:dyDescent="0.25">
      <c r="G116" s="20" t="str">
        <f t="shared" si="1"/>
        <v/>
      </c>
    </row>
    <row r="117" spans="7:7" x14ac:dyDescent="0.25">
      <c r="G117" s="20" t="str">
        <f t="shared" si="1"/>
        <v/>
      </c>
    </row>
    <row r="118" spans="7:7" x14ac:dyDescent="0.25">
      <c r="G118" s="20" t="str">
        <f t="shared" si="1"/>
        <v/>
      </c>
    </row>
    <row r="119" spans="7:7" x14ac:dyDescent="0.25">
      <c r="G119" s="20" t="str">
        <f t="shared" si="1"/>
        <v/>
      </c>
    </row>
    <row r="120" spans="7:7" x14ac:dyDescent="0.25">
      <c r="G120" s="20" t="str">
        <f t="shared" si="1"/>
        <v/>
      </c>
    </row>
    <row r="121" spans="7:7" x14ac:dyDescent="0.25">
      <c r="G121" s="20" t="str">
        <f t="shared" si="1"/>
        <v/>
      </c>
    </row>
    <row r="122" spans="7:7" x14ac:dyDescent="0.25">
      <c r="G122" s="20" t="str">
        <f t="shared" si="1"/>
        <v/>
      </c>
    </row>
    <row r="123" spans="7:7" x14ac:dyDescent="0.25">
      <c r="G123" s="20" t="str">
        <f t="shared" si="1"/>
        <v/>
      </c>
    </row>
    <row r="124" spans="7:7" x14ac:dyDescent="0.25">
      <c r="G124" s="20" t="str">
        <f t="shared" si="1"/>
        <v/>
      </c>
    </row>
    <row r="125" spans="7:7" x14ac:dyDescent="0.25">
      <c r="G125" s="20" t="str">
        <f t="shared" si="1"/>
        <v/>
      </c>
    </row>
    <row r="126" spans="7:7" x14ac:dyDescent="0.25">
      <c r="G126" s="20" t="str">
        <f t="shared" si="1"/>
        <v/>
      </c>
    </row>
    <row r="127" spans="7:7" x14ac:dyDescent="0.25">
      <c r="G127" s="20" t="str">
        <f t="shared" si="1"/>
        <v/>
      </c>
    </row>
    <row r="128" spans="7:7" x14ac:dyDescent="0.25">
      <c r="G128" s="20" t="str">
        <f t="shared" si="1"/>
        <v/>
      </c>
    </row>
    <row r="129" spans="7:7" x14ac:dyDescent="0.25">
      <c r="G129" s="20" t="str">
        <f t="shared" si="1"/>
        <v/>
      </c>
    </row>
    <row r="130" spans="7:7" x14ac:dyDescent="0.25">
      <c r="G130" s="20" t="str">
        <f t="shared" si="1"/>
        <v/>
      </c>
    </row>
    <row r="131" spans="7:7" x14ac:dyDescent="0.25">
      <c r="G131" s="20" t="str">
        <f t="shared" ref="G131:G194" si="2">IF(F131&lt;&gt;"",E131*F131,"")</f>
        <v/>
      </c>
    </row>
    <row r="132" spans="7:7" x14ac:dyDescent="0.25">
      <c r="G132" s="20" t="str">
        <f t="shared" si="2"/>
        <v/>
      </c>
    </row>
    <row r="133" spans="7:7" x14ac:dyDescent="0.25">
      <c r="G133" s="20" t="str">
        <f t="shared" si="2"/>
        <v/>
      </c>
    </row>
    <row r="134" spans="7:7" x14ac:dyDescent="0.25">
      <c r="G134" s="20" t="str">
        <f t="shared" si="2"/>
        <v/>
      </c>
    </row>
    <row r="135" spans="7:7" x14ac:dyDescent="0.25">
      <c r="G135" s="20" t="str">
        <f t="shared" si="2"/>
        <v/>
      </c>
    </row>
    <row r="136" spans="7:7" x14ac:dyDescent="0.25">
      <c r="G136" s="20" t="str">
        <f t="shared" si="2"/>
        <v/>
      </c>
    </row>
    <row r="137" spans="7:7" x14ac:dyDescent="0.25">
      <c r="G137" s="20" t="str">
        <f t="shared" si="2"/>
        <v/>
      </c>
    </row>
    <row r="138" spans="7:7" x14ac:dyDescent="0.25">
      <c r="G138" s="20" t="str">
        <f t="shared" si="2"/>
        <v/>
      </c>
    </row>
    <row r="139" spans="7:7" x14ac:dyDescent="0.25">
      <c r="G139" s="20" t="str">
        <f t="shared" si="2"/>
        <v/>
      </c>
    </row>
    <row r="140" spans="7:7" x14ac:dyDescent="0.25">
      <c r="G140" s="20" t="str">
        <f t="shared" si="2"/>
        <v/>
      </c>
    </row>
    <row r="141" spans="7:7" x14ac:dyDescent="0.25">
      <c r="G141" s="20" t="str">
        <f t="shared" si="2"/>
        <v/>
      </c>
    </row>
    <row r="142" spans="7:7" x14ac:dyDescent="0.25">
      <c r="G142" s="20" t="str">
        <f t="shared" si="2"/>
        <v/>
      </c>
    </row>
    <row r="143" spans="7:7" x14ac:dyDescent="0.25">
      <c r="G143" s="20" t="str">
        <f t="shared" si="2"/>
        <v/>
      </c>
    </row>
    <row r="144" spans="7:7" x14ac:dyDescent="0.25">
      <c r="G144" s="20" t="str">
        <f t="shared" si="2"/>
        <v/>
      </c>
    </row>
    <row r="145" spans="7:7" x14ac:dyDescent="0.25">
      <c r="G145" s="20" t="str">
        <f t="shared" si="2"/>
        <v/>
      </c>
    </row>
    <row r="146" spans="7:7" x14ac:dyDescent="0.25">
      <c r="G146" s="20" t="str">
        <f t="shared" si="2"/>
        <v/>
      </c>
    </row>
    <row r="147" spans="7:7" x14ac:dyDescent="0.25">
      <c r="G147" s="20" t="str">
        <f t="shared" si="2"/>
        <v/>
      </c>
    </row>
    <row r="148" spans="7:7" x14ac:dyDescent="0.25">
      <c r="G148" s="20" t="str">
        <f t="shared" si="2"/>
        <v/>
      </c>
    </row>
    <row r="149" spans="7:7" x14ac:dyDescent="0.25">
      <c r="G149" s="20" t="str">
        <f t="shared" si="2"/>
        <v/>
      </c>
    </row>
    <row r="150" spans="7:7" x14ac:dyDescent="0.25">
      <c r="G150" s="20" t="str">
        <f t="shared" si="2"/>
        <v/>
      </c>
    </row>
    <row r="151" spans="7:7" x14ac:dyDescent="0.25">
      <c r="G151" s="20" t="str">
        <f t="shared" si="2"/>
        <v/>
      </c>
    </row>
    <row r="152" spans="7:7" x14ac:dyDescent="0.25">
      <c r="G152" s="20" t="str">
        <f t="shared" si="2"/>
        <v/>
      </c>
    </row>
    <row r="153" spans="7:7" x14ac:dyDescent="0.25">
      <c r="G153" s="20" t="str">
        <f t="shared" si="2"/>
        <v/>
      </c>
    </row>
    <row r="154" spans="7:7" x14ac:dyDescent="0.25">
      <c r="G154" s="20" t="str">
        <f t="shared" si="2"/>
        <v/>
      </c>
    </row>
    <row r="155" spans="7:7" x14ac:dyDescent="0.25">
      <c r="G155" s="20" t="str">
        <f t="shared" si="2"/>
        <v/>
      </c>
    </row>
    <row r="156" spans="7:7" x14ac:dyDescent="0.25">
      <c r="G156" s="20" t="str">
        <f t="shared" si="2"/>
        <v/>
      </c>
    </row>
    <row r="157" spans="7:7" x14ac:dyDescent="0.25">
      <c r="G157" s="20" t="str">
        <f t="shared" si="2"/>
        <v/>
      </c>
    </row>
    <row r="158" spans="7:7" x14ac:dyDescent="0.25">
      <c r="G158" s="20" t="str">
        <f t="shared" si="2"/>
        <v/>
      </c>
    </row>
    <row r="159" spans="7:7" x14ac:dyDescent="0.25">
      <c r="G159" s="20" t="str">
        <f t="shared" si="2"/>
        <v/>
      </c>
    </row>
    <row r="160" spans="7:7" x14ac:dyDescent="0.25">
      <c r="G160" s="20" t="str">
        <f t="shared" si="2"/>
        <v/>
      </c>
    </row>
    <row r="161" spans="7:7" x14ac:dyDescent="0.25">
      <c r="G161" s="20" t="str">
        <f t="shared" si="2"/>
        <v/>
      </c>
    </row>
    <row r="162" spans="7:7" x14ac:dyDescent="0.25">
      <c r="G162" s="20" t="str">
        <f t="shared" si="2"/>
        <v/>
      </c>
    </row>
    <row r="163" spans="7:7" x14ac:dyDescent="0.25">
      <c r="G163" s="20" t="str">
        <f t="shared" si="2"/>
        <v/>
      </c>
    </row>
    <row r="164" spans="7:7" x14ac:dyDescent="0.25">
      <c r="G164" s="20" t="str">
        <f t="shared" si="2"/>
        <v/>
      </c>
    </row>
    <row r="165" spans="7:7" x14ac:dyDescent="0.25">
      <c r="G165" s="20" t="str">
        <f t="shared" si="2"/>
        <v/>
      </c>
    </row>
    <row r="166" spans="7:7" x14ac:dyDescent="0.25">
      <c r="G166" s="20" t="str">
        <f t="shared" si="2"/>
        <v/>
      </c>
    </row>
    <row r="167" spans="7:7" x14ac:dyDescent="0.25">
      <c r="G167" s="20" t="str">
        <f t="shared" si="2"/>
        <v/>
      </c>
    </row>
    <row r="168" spans="7:7" x14ac:dyDescent="0.25">
      <c r="G168" s="20" t="str">
        <f t="shared" si="2"/>
        <v/>
      </c>
    </row>
    <row r="169" spans="7:7" x14ac:dyDescent="0.25">
      <c r="G169" s="20" t="str">
        <f t="shared" si="2"/>
        <v/>
      </c>
    </row>
    <row r="170" spans="7:7" x14ac:dyDescent="0.25">
      <c r="G170" s="20" t="str">
        <f t="shared" si="2"/>
        <v/>
      </c>
    </row>
    <row r="171" spans="7:7" x14ac:dyDescent="0.25">
      <c r="G171" s="20" t="str">
        <f t="shared" si="2"/>
        <v/>
      </c>
    </row>
    <row r="172" spans="7:7" x14ac:dyDescent="0.25">
      <c r="G172" s="20" t="str">
        <f t="shared" si="2"/>
        <v/>
      </c>
    </row>
    <row r="173" spans="7:7" x14ac:dyDescent="0.25">
      <c r="G173" s="20" t="str">
        <f t="shared" si="2"/>
        <v/>
      </c>
    </row>
    <row r="174" spans="7:7" x14ac:dyDescent="0.25">
      <c r="G174" s="20" t="str">
        <f t="shared" si="2"/>
        <v/>
      </c>
    </row>
    <row r="175" spans="7:7" x14ac:dyDescent="0.25">
      <c r="G175" s="20" t="str">
        <f t="shared" si="2"/>
        <v/>
      </c>
    </row>
    <row r="176" spans="7:7" x14ac:dyDescent="0.25">
      <c r="G176" s="20" t="str">
        <f t="shared" si="2"/>
        <v/>
      </c>
    </row>
    <row r="177" spans="7:7" x14ac:dyDescent="0.25">
      <c r="G177" s="20" t="str">
        <f t="shared" si="2"/>
        <v/>
      </c>
    </row>
    <row r="178" spans="7:7" x14ac:dyDescent="0.25">
      <c r="G178" s="20" t="str">
        <f t="shared" si="2"/>
        <v/>
      </c>
    </row>
    <row r="179" spans="7:7" x14ac:dyDescent="0.25">
      <c r="G179" s="20" t="str">
        <f t="shared" si="2"/>
        <v/>
      </c>
    </row>
    <row r="180" spans="7:7" x14ac:dyDescent="0.25">
      <c r="G180" s="20" t="str">
        <f t="shared" si="2"/>
        <v/>
      </c>
    </row>
    <row r="181" spans="7:7" x14ac:dyDescent="0.25">
      <c r="G181" s="20" t="str">
        <f t="shared" si="2"/>
        <v/>
      </c>
    </row>
    <row r="182" spans="7:7" x14ac:dyDescent="0.25">
      <c r="G182" s="20" t="str">
        <f t="shared" si="2"/>
        <v/>
      </c>
    </row>
    <row r="183" spans="7:7" x14ac:dyDescent="0.25">
      <c r="G183" s="20" t="str">
        <f t="shared" si="2"/>
        <v/>
      </c>
    </row>
    <row r="184" spans="7:7" x14ac:dyDescent="0.25">
      <c r="G184" s="20" t="str">
        <f t="shared" si="2"/>
        <v/>
      </c>
    </row>
    <row r="185" spans="7:7" x14ac:dyDescent="0.25">
      <c r="G185" s="20" t="str">
        <f t="shared" si="2"/>
        <v/>
      </c>
    </row>
    <row r="186" spans="7:7" x14ac:dyDescent="0.25">
      <c r="G186" s="20" t="str">
        <f t="shared" si="2"/>
        <v/>
      </c>
    </row>
    <row r="187" spans="7:7" x14ac:dyDescent="0.25">
      <c r="G187" s="20" t="str">
        <f t="shared" si="2"/>
        <v/>
      </c>
    </row>
    <row r="188" spans="7:7" x14ac:dyDescent="0.25">
      <c r="G188" s="20" t="str">
        <f t="shared" si="2"/>
        <v/>
      </c>
    </row>
    <row r="189" spans="7:7" x14ac:dyDescent="0.25">
      <c r="G189" s="20" t="str">
        <f t="shared" si="2"/>
        <v/>
      </c>
    </row>
    <row r="190" spans="7:7" x14ac:dyDescent="0.25">
      <c r="G190" s="20" t="str">
        <f t="shared" si="2"/>
        <v/>
      </c>
    </row>
    <row r="191" spans="7:7" x14ac:dyDescent="0.25">
      <c r="G191" s="20" t="str">
        <f t="shared" si="2"/>
        <v/>
      </c>
    </row>
    <row r="192" spans="7:7" x14ac:dyDescent="0.25">
      <c r="G192" s="20" t="str">
        <f t="shared" si="2"/>
        <v/>
      </c>
    </row>
    <row r="193" spans="7:7" x14ac:dyDescent="0.25">
      <c r="G193" s="20" t="str">
        <f t="shared" si="2"/>
        <v/>
      </c>
    </row>
    <row r="194" spans="7:7" x14ac:dyDescent="0.25">
      <c r="G194" s="20" t="str">
        <f t="shared" si="2"/>
        <v/>
      </c>
    </row>
    <row r="195" spans="7:7" x14ac:dyDescent="0.25">
      <c r="G195" s="20" t="str">
        <f t="shared" ref="G195:G258" si="3">IF(F195&lt;&gt;"",E195*F195,"")</f>
        <v/>
      </c>
    </row>
    <row r="196" spans="7:7" x14ac:dyDescent="0.25">
      <c r="G196" s="20" t="str">
        <f t="shared" si="3"/>
        <v/>
      </c>
    </row>
    <row r="197" spans="7:7" x14ac:dyDescent="0.25">
      <c r="G197" s="20" t="str">
        <f t="shared" si="3"/>
        <v/>
      </c>
    </row>
    <row r="198" spans="7:7" x14ac:dyDescent="0.25">
      <c r="G198" s="20" t="str">
        <f t="shared" si="3"/>
        <v/>
      </c>
    </row>
    <row r="199" spans="7:7" x14ac:dyDescent="0.25">
      <c r="G199" s="20" t="str">
        <f t="shared" si="3"/>
        <v/>
      </c>
    </row>
    <row r="200" spans="7:7" x14ac:dyDescent="0.25">
      <c r="G200" s="20" t="str">
        <f t="shared" si="3"/>
        <v/>
      </c>
    </row>
    <row r="201" spans="7:7" x14ac:dyDescent="0.25">
      <c r="G201" s="20" t="str">
        <f t="shared" si="3"/>
        <v/>
      </c>
    </row>
    <row r="202" spans="7:7" x14ac:dyDescent="0.25">
      <c r="G202" s="20" t="str">
        <f t="shared" si="3"/>
        <v/>
      </c>
    </row>
    <row r="203" spans="7:7" x14ac:dyDescent="0.25">
      <c r="G203" s="20" t="str">
        <f t="shared" si="3"/>
        <v/>
      </c>
    </row>
    <row r="204" spans="7:7" x14ac:dyDescent="0.25">
      <c r="G204" s="20" t="str">
        <f t="shared" si="3"/>
        <v/>
      </c>
    </row>
    <row r="205" spans="7:7" x14ac:dyDescent="0.25">
      <c r="G205" s="20" t="str">
        <f t="shared" si="3"/>
        <v/>
      </c>
    </row>
    <row r="206" spans="7:7" x14ac:dyDescent="0.25">
      <c r="G206" s="20" t="str">
        <f t="shared" si="3"/>
        <v/>
      </c>
    </row>
    <row r="207" spans="7:7" x14ac:dyDescent="0.25">
      <c r="G207" s="20" t="str">
        <f t="shared" si="3"/>
        <v/>
      </c>
    </row>
    <row r="208" spans="7:7" x14ac:dyDescent="0.25">
      <c r="G208" s="20" t="str">
        <f t="shared" si="3"/>
        <v/>
      </c>
    </row>
    <row r="209" spans="7:7" x14ac:dyDescent="0.25">
      <c r="G209" s="20" t="str">
        <f t="shared" si="3"/>
        <v/>
      </c>
    </row>
    <row r="210" spans="7:7" x14ac:dyDescent="0.25">
      <c r="G210" s="20" t="str">
        <f t="shared" si="3"/>
        <v/>
      </c>
    </row>
    <row r="211" spans="7:7" x14ac:dyDescent="0.25">
      <c r="G211" s="20" t="str">
        <f t="shared" si="3"/>
        <v/>
      </c>
    </row>
    <row r="212" spans="7:7" x14ac:dyDescent="0.25">
      <c r="G212" s="20" t="str">
        <f t="shared" si="3"/>
        <v/>
      </c>
    </row>
    <row r="213" spans="7:7" x14ac:dyDescent="0.25">
      <c r="G213" s="20" t="str">
        <f t="shared" si="3"/>
        <v/>
      </c>
    </row>
    <row r="214" spans="7:7" x14ac:dyDescent="0.25">
      <c r="G214" s="20" t="str">
        <f t="shared" si="3"/>
        <v/>
      </c>
    </row>
    <row r="215" spans="7:7" x14ac:dyDescent="0.25">
      <c r="G215" s="20" t="str">
        <f t="shared" si="3"/>
        <v/>
      </c>
    </row>
    <row r="216" spans="7:7" x14ac:dyDescent="0.25">
      <c r="G216" s="20" t="str">
        <f t="shared" si="3"/>
        <v/>
      </c>
    </row>
    <row r="217" spans="7:7" x14ac:dyDescent="0.25">
      <c r="G217" s="20" t="str">
        <f t="shared" si="3"/>
        <v/>
      </c>
    </row>
    <row r="218" spans="7:7" x14ac:dyDescent="0.25">
      <c r="G218" s="20" t="str">
        <f t="shared" si="3"/>
        <v/>
      </c>
    </row>
    <row r="219" spans="7:7" x14ac:dyDescent="0.25">
      <c r="G219" s="20" t="str">
        <f t="shared" si="3"/>
        <v/>
      </c>
    </row>
    <row r="220" spans="7:7" x14ac:dyDescent="0.25">
      <c r="G220" s="20" t="str">
        <f t="shared" si="3"/>
        <v/>
      </c>
    </row>
    <row r="221" spans="7:7" x14ac:dyDescent="0.25">
      <c r="G221" s="20" t="str">
        <f t="shared" si="3"/>
        <v/>
      </c>
    </row>
    <row r="222" spans="7:7" x14ac:dyDescent="0.25">
      <c r="G222" s="20" t="str">
        <f t="shared" si="3"/>
        <v/>
      </c>
    </row>
    <row r="223" spans="7:7" x14ac:dyDescent="0.25">
      <c r="G223" s="20" t="str">
        <f t="shared" si="3"/>
        <v/>
      </c>
    </row>
    <row r="224" spans="7:7" x14ac:dyDescent="0.25">
      <c r="G224" s="20" t="str">
        <f t="shared" si="3"/>
        <v/>
      </c>
    </row>
    <row r="225" spans="7:7" x14ac:dyDescent="0.25">
      <c r="G225" s="20" t="str">
        <f t="shared" si="3"/>
        <v/>
      </c>
    </row>
    <row r="226" spans="7:7" x14ac:dyDescent="0.25">
      <c r="G226" s="20" t="str">
        <f t="shared" si="3"/>
        <v/>
      </c>
    </row>
    <row r="227" spans="7:7" x14ac:dyDescent="0.25">
      <c r="G227" s="20" t="str">
        <f t="shared" si="3"/>
        <v/>
      </c>
    </row>
    <row r="228" spans="7:7" x14ac:dyDescent="0.25">
      <c r="G228" s="20" t="str">
        <f t="shared" si="3"/>
        <v/>
      </c>
    </row>
    <row r="229" spans="7:7" x14ac:dyDescent="0.25">
      <c r="G229" s="20" t="str">
        <f t="shared" si="3"/>
        <v/>
      </c>
    </row>
    <row r="230" spans="7:7" x14ac:dyDescent="0.25">
      <c r="G230" s="20" t="str">
        <f t="shared" si="3"/>
        <v/>
      </c>
    </row>
    <row r="231" spans="7:7" x14ac:dyDescent="0.25">
      <c r="G231" s="20" t="str">
        <f t="shared" si="3"/>
        <v/>
      </c>
    </row>
    <row r="232" spans="7:7" x14ac:dyDescent="0.25">
      <c r="G232" s="20" t="str">
        <f t="shared" si="3"/>
        <v/>
      </c>
    </row>
    <row r="233" spans="7:7" x14ac:dyDescent="0.25">
      <c r="G233" s="20" t="str">
        <f t="shared" si="3"/>
        <v/>
      </c>
    </row>
    <row r="234" spans="7:7" x14ac:dyDescent="0.25">
      <c r="G234" s="20" t="str">
        <f t="shared" si="3"/>
        <v/>
      </c>
    </row>
    <row r="235" spans="7:7" x14ac:dyDescent="0.25">
      <c r="G235" s="20" t="str">
        <f t="shared" si="3"/>
        <v/>
      </c>
    </row>
    <row r="236" spans="7:7" x14ac:dyDescent="0.25">
      <c r="G236" s="20" t="str">
        <f t="shared" si="3"/>
        <v/>
      </c>
    </row>
    <row r="237" spans="7:7" x14ac:dyDescent="0.25">
      <c r="G237" s="20" t="str">
        <f t="shared" si="3"/>
        <v/>
      </c>
    </row>
    <row r="238" spans="7:7" x14ac:dyDescent="0.25">
      <c r="G238" s="20" t="str">
        <f t="shared" si="3"/>
        <v/>
      </c>
    </row>
    <row r="239" spans="7:7" x14ac:dyDescent="0.25">
      <c r="G239" s="20" t="str">
        <f t="shared" si="3"/>
        <v/>
      </c>
    </row>
    <row r="240" spans="7:7" x14ac:dyDescent="0.25">
      <c r="G240" s="20" t="str">
        <f t="shared" si="3"/>
        <v/>
      </c>
    </row>
    <row r="241" spans="7:7" x14ac:dyDescent="0.25">
      <c r="G241" s="20" t="str">
        <f t="shared" si="3"/>
        <v/>
      </c>
    </row>
    <row r="242" spans="7:7" x14ac:dyDescent="0.25">
      <c r="G242" s="20" t="str">
        <f t="shared" si="3"/>
        <v/>
      </c>
    </row>
    <row r="243" spans="7:7" x14ac:dyDescent="0.25">
      <c r="G243" s="20" t="str">
        <f t="shared" si="3"/>
        <v/>
      </c>
    </row>
    <row r="244" spans="7:7" x14ac:dyDescent="0.25">
      <c r="G244" s="20" t="str">
        <f t="shared" si="3"/>
        <v/>
      </c>
    </row>
    <row r="245" spans="7:7" x14ac:dyDescent="0.25">
      <c r="G245" s="20" t="str">
        <f t="shared" si="3"/>
        <v/>
      </c>
    </row>
    <row r="246" spans="7:7" x14ac:dyDescent="0.25">
      <c r="G246" s="20" t="str">
        <f t="shared" si="3"/>
        <v/>
      </c>
    </row>
    <row r="247" spans="7:7" x14ac:dyDescent="0.25">
      <c r="G247" s="20" t="str">
        <f t="shared" si="3"/>
        <v/>
      </c>
    </row>
    <row r="248" spans="7:7" x14ac:dyDescent="0.25">
      <c r="G248" s="20" t="str">
        <f t="shared" si="3"/>
        <v/>
      </c>
    </row>
    <row r="249" spans="7:7" x14ac:dyDescent="0.25">
      <c r="G249" s="20" t="str">
        <f t="shared" si="3"/>
        <v/>
      </c>
    </row>
    <row r="250" spans="7:7" x14ac:dyDescent="0.25">
      <c r="G250" s="20" t="str">
        <f t="shared" si="3"/>
        <v/>
      </c>
    </row>
    <row r="251" spans="7:7" x14ac:dyDescent="0.25">
      <c r="G251" s="20" t="str">
        <f t="shared" si="3"/>
        <v/>
      </c>
    </row>
    <row r="252" spans="7:7" x14ac:dyDescent="0.25">
      <c r="G252" s="20" t="str">
        <f t="shared" si="3"/>
        <v/>
      </c>
    </row>
    <row r="253" spans="7:7" x14ac:dyDescent="0.25">
      <c r="G253" s="20" t="str">
        <f t="shared" si="3"/>
        <v/>
      </c>
    </row>
    <row r="254" spans="7:7" x14ac:dyDescent="0.25">
      <c r="G254" s="20" t="str">
        <f t="shared" si="3"/>
        <v/>
      </c>
    </row>
    <row r="255" spans="7:7" x14ac:dyDescent="0.25">
      <c r="G255" s="20" t="str">
        <f t="shared" si="3"/>
        <v/>
      </c>
    </row>
    <row r="256" spans="7:7" x14ac:dyDescent="0.25">
      <c r="G256" s="20" t="str">
        <f t="shared" si="3"/>
        <v/>
      </c>
    </row>
    <row r="257" spans="7:7" x14ac:dyDescent="0.25">
      <c r="G257" s="20" t="str">
        <f t="shared" si="3"/>
        <v/>
      </c>
    </row>
    <row r="258" spans="7:7" x14ac:dyDescent="0.25">
      <c r="G258" s="20" t="str">
        <f t="shared" si="3"/>
        <v/>
      </c>
    </row>
    <row r="259" spans="7:7" x14ac:dyDescent="0.25">
      <c r="G259" s="20" t="str">
        <f t="shared" ref="G259:G322" si="4">IF(F259&lt;&gt;"",E259*F259,"")</f>
        <v/>
      </c>
    </row>
    <row r="260" spans="7:7" x14ac:dyDescent="0.25">
      <c r="G260" s="20" t="str">
        <f t="shared" si="4"/>
        <v/>
      </c>
    </row>
    <row r="261" spans="7:7" x14ac:dyDescent="0.25">
      <c r="G261" s="20" t="str">
        <f t="shared" si="4"/>
        <v/>
      </c>
    </row>
    <row r="262" spans="7:7" x14ac:dyDescent="0.25">
      <c r="G262" s="20" t="str">
        <f t="shared" si="4"/>
        <v/>
      </c>
    </row>
    <row r="263" spans="7:7" x14ac:dyDescent="0.25">
      <c r="G263" s="20" t="str">
        <f t="shared" si="4"/>
        <v/>
      </c>
    </row>
    <row r="264" spans="7:7" x14ac:dyDescent="0.25">
      <c r="G264" s="20" t="str">
        <f t="shared" si="4"/>
        <v/>
      </c>
    </row>
    <row r="265" spans="7:7" x14ac:dyDescent="0.25">
      <c r="G265" s="20" t="str">
        <f t="shared" si="4"/>
        <v/>
      </c>
    </row>
    <row r="266" spans="7:7" x14ac:dyDescent="0.25">
      <c r="G266" s="20" t="str">
        <f t="shared" si="4"/>
        <v/>
      </c>
    </row>
    <row r="267" spans="7:7" x14ac:dyDescent="0.25">
      <c r="G267" s="20" t="str">
        <f t="shared" si="4"/>
        <v/>
      </c>
    </row>
    <row r="268" spans="7:7" x14ac:dyDescent="0.25">
      <c r="G268" s="20" t="str">
        <f t="shared" si="4"/>
        <v/>
      </c>
    </row>
    <row r="269" spans="7:7" x14ac:dyDescent="0.25">
      <c r="G269" s="20" t="str">
        <f t="shared" si="4"/>
        <v/>
      </c>
    </row>
    <row r="270" spans="7:7" x14ac:dyDescent="0.25">
      <c r="G270" s="20" t="str">
        <f t="shared" si="4"/>
        <v/>
      </c>
    </row>
    <row r="271" spans="7:7" x14ac:dyDescent="0.25">
      <c r="G271" s="20" t="str">
        <f t="shared" si="4"/>
        <v/>
      </c>
    </row>
    <row r="272" spans="7:7" x14ac:dyDescent="0.25">
      <c r="G272" s="20" t="str">
        <f t="shared" si="4"/>
        <v/>
      </c>
    </row>
    <row r="273" spans="7:7" x14ac:dyDescent="0.25">
      <c r="G273" s="20" t="str">
        <f t="shared" si="4"/>
        <v/>
      </c>
    </row>
    <row r="274" spans="7:7" x14ac:dyDescent="0.25">
      <c r="G274" s="20" t="str">
        <f t="shared" si="4"/>
        <v/>
      </c>
    </row>
    <row r="275" spans="7:7" x14ac:dyDescent="0.25">
      <c r="G275" s="20" t="str">
        <f t="shared" si="4"/>
        <v/>
      </c>
    </row>
    <row r="276" spans="7:7" x14ac:dyDescent="0.25">
      <c r="G276" s="20" t="str">
        <f t="shared" si="4"/>
        <v/>
      </c>
    </row>
    <row r="277" spans="7:7" x14ac:dyDescent="0.25">
      <c r="G277" s="20" t="str">
        <f t="shared" si="4"/>
        <v/>
      </c>
    </row>
    <row r="278" spans="7:7" x14ac:dyDescent="0.25">
      <c r="G278" s="20" t="str">
        <f t="shared" si="4"/>
        <v/>
      </c>
    </row>
    <row r="279" spans="7:7" x14ac:dyDescent="0.25">
      <c r="G279" s="20" t="str">
        <f t="shared" si="4"/>
        <v/>
      </c>
    </row>
    <row r="280" spans="7:7" x14ac:dyDescent="0.25">
      <c r="G280" s="20" t="str">
        <f t="shared" si="4"/>
        <v/>
      </c>
    </row>
    <row r="281" spans="7:7" x14ac:dyDescent="0.25">
      <c r="G281" s="20" t="str">
        <f t="shared" si="4"/>
        <v/>
      </c>
    </row>
    <row r="282" spans="7:7" x14ac:dyDescent="0.25">
      <c r="G282" s="20" t="str">
        <f t="shared" si="4"/>
        <v/>
      </c>
    </row>
    <row r="283" spans="7:7" x14ac:dyDescent="0.25">
      <c r="G283" s="20" t="str">
        <f t="shared" si="4"/>
        <v/>
      </c>
    </row>
    <row r="284" spans="7:7" x14ac:dyDescent="0.25">
      <c r="G284" s="20" t="str">
        <f t="shared" si="4"/>
        <v/>
      </c>
    </row>
    <row r="285" spans="7:7" x14ac:dyDescent="0.25">
      <c r="G285" s="20" t="str">
        <f t="shared" si="4"/>
        <v/>
      </c>
    </row>
    <row r="286" spans="7:7" x14ac:dyDescent="0.25">
      <c r="G286" s="20" t="str">
        <f t="shared" si="4"/>
        <v/>
      </c>
    </row>
    <row r="287" spans="7:7" x14ac:dyDescent="0.25">
      <c r="G287" s="20" t="str">
        <f t="shared" si="4"/>
        <v/>
      </c>
    </row>
    <row r="288" spans="7:7" x14ac:dyDescent="0.25">
      <c r="G288" s="20" t="str">
        <f t="shared" si="4"/>
        <v/>
      </c>
    </row>
    <row r="289" spans="7:7" x14ac:dyDescent="0.25">
      <c r="G289" s="20" t="str">
        <f t="shared" si="4"/>
        <v/>
      </c>
    </row>
    <row r="290" spans="7:7" x14ac:dyDescent="0.25">
      <c r="G290" s="20" t="str">
        <f t="shared" si="4"/>
        <v/>
      </c>
    </row>
    <row r="291" spans="7:7" x14ac:dyDescent="0.25">
      <c r="G291" s="20" t="str">
        <f t="shared" si="4"/>
        <v/>
      </c>
    </row>
    <row r="292" spans="7:7" x14ac:dyDescent="0.25">
      <c r="G292" s="20" t="str">
        <f t="shared" si="4"/>
        <v/>
      </c>
    </row>
    <row r="293" spans="7:7" x14ac:dyDescent="0.25">
      <c r="G293" s="20" t="str">
        <f t="shared" si="4"/>
        <v/>
      </c>
    </row>
    <row r="294" spans="7:7" x14ac:dyDescent="0.25">
      <c r="G294" s="20" t="str">
        <f t="shared" si="4"/>
        <v/>
      </c>
    </row>
    <row r="295" spans="7:7" x14ac:dyDescent="0.25">
      <c r="G295" s="20" t="str">
        <f t="shared" si="4"/>
        <v/>
      </c>
    </row>
    <row r="296" spans="7:7" x14ac:dyDescent="0.25">
      <c r="G296" s="20" t="str">
        <f t="shared" si="4"/>
        <v/>
      </c>
    </row>
    <row r="297" spans="7:7" x14ac:dyDescent="0.25">
      <c r="G297" s="20" t="str">
        <f t="shared" si="4"/>
        <v/>
      </c>
    </row>
    <row r="298" spans="7:7" x14ac:dyDescent="0.25">
      <c r="G298" s="20" t="str">
        <f t="shared" si="4"/>
        <v/>
      </c>
    </row>
    <row r="299" spans="7:7" x14ac:dyDescent="0.25">
      <c r="G299" s="20" t="str">
        <f t="shared" si="4"/>
        <v/>
      </c>
    </row>
    <row r="300" spans="7:7" x14ac:dyDescent="0.25">
      <c r="G300" s="20" t="str">
        <f t="shared" si="4"/>
        <v/>
      </c>
    </row>
    <row r="301" spans="7:7" x14ac:dyDescent="0.25">
      <c r="G301" s="20" t="str">
        <f t="shared" si="4"/>
        <v/>
      </c>
    </row>
    <row r="302" spans="7:7" x14ac:dyDescent="0.25">
      <c r="G302" s="20" t="str">
        <f t="shared" si="4"/>
        <v/>
      </c>
    </row>
    <row r="303" spans="7:7" x14ac:dyDescent="0.25">
      <c r="G303" s="20" t="str">
        <f t="shared" si="4"/>
        <v/>
      </c>
    </row>
    <row r="304" spans="7:7" x14ac:dyDescent="0.25">
      <c r="G304" s="20" t="str">
        <f t="shared" si="4"/>
        <v/>
      </c>
    </row>
    <row r="305" spans="7:7" x14ac:dyDescent="0.25">
      <c r="G305" s="20" t="str">
        <f t="shared" si="4"/>
        <v/>
      </c>
    </row>
    <row r="306" spans="7:7" x14ac:dyDescent="0.25">
      <c r="G306" s="20" t="str">
        <f t="shared" si="4"/>
        <v/>
      </c>
    </row>
    <row r="307" spans="7:7" x14ac:dyDescent="0.25">
      <c r="G307" s="20" t="str">
        <f t="shared" si="4"/>
        <v/>
      </c>
    </row>
    <row r="308" spans="7:7" x14ac:dyDescent="0.25">
      <c r="G308" s="20" t="str">
        <f t="shared" si="4"/>
        <v/>
      </c>
    </row>
    <row r="309" spans="7:7" x14ac:dyDescent="0.25">
      <c r="G309" s="20" t="str">
        <f t="shared" si="4"/>
        <v/>
      </c>
    </row>
    <row r="310" spans="7:7" x14ac:dyDescent="0.25">
      <c r="G310" s="20" t="str">
        <f t="shared" si="4"/>
        <v/>
      </c>
    </row>
    <row r="311" spans="7:7" x14ac:dyDescent="0.25">
      <c r="G311" s="20" t="str">
        <f t="shared" si="4"/>
        <v/>
      </c>
    </row>
    <row r="312" spans="7:7" x14ac:dyDescent="0.25">
      <c r="G312" s="20" t="str">
        <f t="shared" si="4"/>
        <v/>
      </c>
    </row>
    <row r="313" spans="7:7" x14ac:dyDescent="0.25">
      <c r="G313" s="20" t="str">
        <f t="shared" si="4"/>
        <v/>
      </c>
    </row>
    <row r="314" spans="7:7" x14ac:dyDescent="0.25">
      <c r="G314" s="20" t="str">
        <f t="shared" si="4"/>
        <v/>
      </c>
    </row>
    <row r="315" spans="7:7" x14ac:dyDescent="0.25">
      <c r="G315" s="20" t="str">
        <f t="shared" si="4"/>
        <v/>
      </c>
    </row>
    <row r="316" spans="7:7" x14ac:dyDescent="0.25">
      <c r="G316" s="20" t="str">
        <f t="shared" si="4"/>
        <v/>
      </c>
    </row>
    <row r="317" spans="7:7" x14ac:dyDescent="0.25">
      <c r="G317" s="20" t="str">
        <f t="shared" si="4"/>
        <v/>
      </c>
    </row>
    <row r="318" spans="7:7" x14ac:dyDescent="0.25">
      <c r="G318" s="20" t="str">
        <f t="shared" si="4"/>
        <v/>
      </c>
    </row>
    <row r="319" spans="7:7" x14ac:dyDescent="0.25">
      <c r="G319" s="20" t="str">
        <f t="shared" si="4"/>
        <v/>
      </c>
    </row>
    <row r="320" spans="7:7" x14ac:dyDescent="0.25">
      <c r="G320" s="20" t="str">
        <f t="shared" si="4"/>
        <v/>
      </c>
    </row>
    <row r="321" spans="7:7" x14ac:dyDescent="0.25">
      <c r="G321" s="20" t="str">
        <f t="shared" si="4"/>
        <v/>
      </c>
    </row>
    <row r="322" spans="7:7" x14ac:dyDescent="0.25">
      <c r="G322" s="20" t="str">
        <f t="shared" si="4"/>
        <v/>
      </c>
    </row>
    <row r="323" spans="7:7" x14ac:dyDescent="0.25">
      <c r="G323" s="20" t="str">
        <f t="shared" ref="G323:G386" si="5">IF(F323&lt;&gt;"",E323*F323,"")</f>
        <v/>
      </c>
    </row>
    <row r="324" spans="7:7" x14ac:dyDescent="0.25">
      <c r="G324" s="20" t="str">
        <f t="shared" si="5"/>
        <v/>
      </c>
    </row>
    <row r="325" spans="7:7" x14ac:dyDescent="0.25">
      <c r="G325" s="20" t="str">
        <f t="shared" si="5"/>
        <v/>
      </c>
    </row>
    <row r="326" spans="7:7" x14ac:dyDescent="0.25">
      <c r="G326" s="20" t="str">
        <f t="shared" si="5"/>
        <v/>
      </c>
    </row>
    <row r="327" spans="7:7" x14ac:dyDescent="0.25">
      <c r="G327" s="20" t="str">
        <f t="shared" si="5"/>
        <v/>
      </c>
    </row>
    <row r="328" spans="7:7" x14ac:dyDescent="0.25">
      <c r="G328" s="20" t="str">
        <f t="shared" si="5"/>
        <v/>
      </c>
    </row>
    <row r="329" spans="7:7" x14ac:dyDescent="0.25">
      <c r="G329" s="20" t="str">
        <f t="shared" si="5"/>
        <v/>
      </c>
    </row>
    <row r="330" spans="7:7" x14ac:dyDescent="0.25">
      <c r="G330" s="20" t="str">
        <f t="shared" si="5"/>
        <v/>
      </c>
    </row>
    <row r="331" spans="7:7" x14ac:dyDescent="0.25">
      <c r="G331" s="20" t="str">
        <f t="shared" si="5"/>
        <v/>
      </c>
    </row>
    <row r="332" spans="7:7" x14ac:dyDescent="0.25">
      <c r="G332" s="20" t="str">
        <f t="shared" si="5"/>
        <v/>
      </c>
    </row>
    <row r="333" spans="7:7" x14ac:dyDescent="0.25">
      <c r="G333" s="20" t="str">
        <f t="shared" si="5"/>
        <v/>
      </c>
    </row>
    <row r="334" spans="7:7" x14ac:dyDescent="0.25">
      <c r="G334" s="20" t="str">
        <f t="shared" si="5"/>
        <v/>
      </c>
    </row>
    <row r="335" spans="7:7" x14ac:dyDescent="0.25">
      <c r="G335" s="20" t="str">
        <f t="shared" si="5"/>
        <v/>
      </c>
    </row>
    <row r="336" spans="7:7" x14ac:dyDescent="0.25">
      <c r="G336" s="20" t="str">
        <f t="shared" si="5"/>
        <v/>
      </c>
    </row>
    <row r="337" spans="7:7" x14ac:dyDescent="0.25">
      <c r="G337" s="20" t="str">
        <f t="shared" si="5"/>
        <v/>
      </c>
    </row>
    <row r="338" spans="7:7" x14ac:dyDescent="0.25">
      <c r="G338" s="20" t="str">
        <f t="shared" si="5"/>
        <v/>
      </c>
    </row>
    <row r="339" spans="7:7" x14ac:dyDescent="0.25">
      <c r="G339" s="20" t="str">
        <f t="shared" si="5"/>
        <v/>
      </c>
    </row>
    <row r="340" spans="7:7" x14ac:dyDescent="0.25">
      <c r="G340" s="20" t="str">
        <f t="shared" si="5"/>
        <v/>
      </c>
    </row>
    <row r="341" spans="7:7" x14ac:dyDescent="0.25">
      <c r="G341" s="20" t="str">
        <f t="shared" si="5"/>
        <v/>
      </c>
    </row>
    <row r="342" spans="7:7" x14ac:dyDescent="0.25">
      <c r="G342" s="20" t="str">
        <f t="shared" si="5"/>
        <v/>
      </c>
    </row>
    <row r="343" spans="7:7" x14ac:dyDescent="0.25">
      <c r="G343" s="20" t="str">
        <f t="shared" si="5"/>
        <v/>
      </c>
    </row>
    <row r="344" spans="7:7" x14ac:dyDescent="0.25">
      <c r="G344" s="20" t="str">
        <f t="shared" si="5"/>
        <v/>
      </c>
    </row>
    <row r="345" spans="7:7" x14ac:dyDescent="0.25">
      <c r="G345" s="20" t="str">
        <f t="shared" si="5"/>
        <v/>
      </c>
    </row>
    <row r="346" spans="7:7" x14ac:dyDescent="0.25">
      <c r="G346" s="20" t="str">
        <f t="shared" si="5"/>
        <v/>
      </c>
    </row>
    <row r="347" spans="7:7" x14ac:dyDescent="0.25">
      <c r="G347" s="20" t="str">
        <f t="shared" si="5"/>
        <v/>
      </c>
    </row>
    <row r="348" spans="7:7" x14ac:dyDescent="0.25">
      <c r="G348" s="20" t="str">
        <f t="shared" si="5"/>
        <v/>
      </c>
    </row>
    <row r="349" spans="7:7" x14ac:dyDescent="0.25">
      <c r="G349" s="20" t="str">
        <f t="shared" si="5"/>
        <v/>
      </c>
    </row>
    <row r="350" spans="7:7" x14ac:dyDescent="0.25">
      <c r="G350" s="20" t="str">
        <f t="shared" si="5"/>
        <v/>
      </c>
    </row>
    <row r="351" spans="7:7" x14ac:dyDescent="0.25">
      <c r="G351" s="20" t="str">
        <f t="shared" si="5"/>
        <v/>
      </c>
    </row>
    <row r="352" spans="7:7" x14ac:dyDescent="0.25">
      <c r="G352" s="20" t="str">
        <f t="shared" si="5"/>
        <v/>
      </c>
    </row>
    <row r="353" spans="7:7" x14ac:dyDescent="0.25">
      <c r="G353" s="20" t="str">
        <f t="shared" si="5"/>
        <v/>
      </c>
    </row>
    <row r="354" spans="7:7" x14ac:dyDescent="0.25">
      <c r="G354" s="20" t="str">
        <f t="shared" si="5"/>
        <v/>
      </c>
    </row>
    <row r="355" spans="7:7" x14ac:dyDescent="0.25">
      <c r="G355" s="20" t="str">
        <f t="shared" si="5"/>
        <v/>
      </c>
    </row>
    <row r="356" spans="7:7" x14ac:dyDescent="0.25">
      <c r="G356" s="20" t="str">
        <f t="shared" si="5"/>
        <v/>
      </c>
    </row>
    <row r="357" spans="7:7" x14ac:dyDescent="0.25">
      <c r="G357" s="20" t="str">
        <f t="shared" si="5"/>
        <v/>
      </c>
    </row>
    <row r="358" spans="7:7" x14ac:dyDescent="0.25">
      <c r="G358" s="20" t="str">
        <f t="shared" si="5"/>
        <v/>
      </c>
    </row>
    <row r="359" spans="7:7" x14ac:dyDescent="0.25">
      <c r="G359" s="20" t="str">
        <f t="shared" si="5"/>
        <v/>
      </c>
    </row>
    <row r="360" spans="7:7" x14ac:dyDescent="0.25">
      <c r="G360" s="20" t="str">
        <f t="shared" si="5"/>
        <v/>
      </c>
    </row>
    <row r="361" spans="7:7" x14ac:dyDescent="0.25">
      <c r="G361" s="20" t="str">
        <f t="shared" si="5"/>
        <v/>
      </c>
    </row>
    <row r="362" spans="7:7" x14ac:dyDescent="0.25">
      <c r="G362" s="20" t="str">
        <f t="shared" si="5"/>
        <v/>
      </c>
    </row>
    <row r="363" spans="7:7" x14ac:dyDescent="0.25">
      <c r="G363" s="20" t="str">
        <f t="shared" si="5"/>
        <v/>
      </c>
    </row>
    <row r="364" spans="7:7" x14ac:dyDescent="0.25">
      <c r="G364" s="20" t="str">
        <f t="shared" si="5"/>
        <v/>
      </c>
    </row>
    <row r="365" spans="7:7" x14ac:dyDescent="0.25">
      <c r="G365" s="20" t="str">
        <f t="shared" si="5"/>
        <v/>
      </c>
    </row>
    <row r="366" spans="7:7" x14ac:dyDescent="0.25">
      <c r="G366" s="20" t="str">
        <f t="shared" si="5"/>
        <v/>
      </c>
    </row>
    <row r="367" spans="7:7" x14ac:dyDescent="0.25">
      <c r="G367" s="20" t="str">
        <f t="shared" si="5"/>
        <v/>
      </c>
    </row>
    <row r="368" spans="7:7" x14ac:dyDescent="0.25">
      <c r="G368" s="20" t="str">
        <f t="shared" si="5"/>
        <v/>
      </c>
    </row>
    <row r="369" spans="7:7" x14ac:dyDescent="0.25">
      <c r="G369" s="20" t="str">
        <f t="shared" si="5"/>
        <v/>
      </c>
    </row>
    <row r="370" spans="7:7" x14ac:dyDescent="0.25">
      <c r="G370" s="20" t="str">
        <f t="shared" si="5"/>
        <v/>
      </c>
    </row>
    <row r="371" spans="7:7" x14ac:dyDescent="0.25">
      <c r="G371" s="20" t="str">
        <f t="shared" si="5"/>
        <v/>
      </c>
    </row>
    <row r="372" spans="7:7" x14ac:dyDescent="0.25">
      <c r="G372" s="20" t="str">
        <f t="shared" si="5"/>
        <v/>
      </c>
    </row>
    <row r="373" spans="7:7" x14ac:dyDescent="0.25">
      <c r="G373" s="20" t="str">
        <f t="shared" si="5"/>
        <v/>
      </c>
    </row>
    <row r="374" spans="7:7" x14ac:dyDescent="0.25">
      <c r="G374" s="20" t="str">
        <f t="shared" si="5"/>
        <v/>
      </c>
    </row>
    <row r="375" spans="7:7" x14ac:dyDescent="0.25">
      <c r="G375" s="20" t="str">
        <f t="shared" si="5"/>
        <v/>
      </c>
    </row>
    <row r="376" spans="7:7" x14ac:dyDescent="0.25">
      <c r="G376" s="20" t="str">
        <f t="shared" si="5"/>
        <v/>
      </c>
    </row>
    <row r="377" spans="7:7" x14ac:dyDescent="0.25">
      <c r="G377" s="20" t="str">
        <f t="shared" si="5"/>
        <v/>
      </c>
    </row>
    <row r="378" spans="7:7" x14ac:dyDescent="0.25">
      <c r="G378" s="20" t="str">
        <f t="shared" si="5"/>
        <v/>
      </c>
    </row>
    <row r="379" spans="7:7" x14ac:dyDescent="0.25">
      <c r="G379" s="20" t="str">
        <f t="shared" si="5"/>
        <v/>
      </c>
    </row>
    <row r="380" spans="7:7" x14ac:dyDescent="0.25">
      <c r="G380" s="20" t="str">
        <f t="shared" si="5"/>
        <v/>
      </c>
    </row>
    <row r="381" spans="7:7" x14ac:dyDescent="0.25">
      <c r="G381" s="20" t="str">
        <f t="shared" si="5"/>
        <v/>
      </c>
    </row>
    <row r="382" spans="7:7" x14ac:dyDescent="0.25">
      <c r="G382" s="20" t="str">
        <f t="shared" si="5"/>
        <v/>
      </c>
    </row>
    <row r="383" spans="7:7" x14ac:dyDescent="0.25">
      <c r="G383" s="20" t="str">
        <f t="shared" si="5"/>
        <v/>
      </c>
    </row>
    <row r="384" spans="7:7" x14ac:dyDescent="0.25">
      <c r="G384" s="20" t="str">
        <f t="shared" si="5"/>
        <v/>
      </c>
    </row>
    <row r="385" spans="7:7" x14ac:dyDescent="0.25">
      <c r="G385" s="20" t="str">
        <f t="shared" si="5"/>
        <v/>
      </c>
    </row>
    <row r="386" spans="7:7" x14ac:dyDescent="0.25">
      <c r="G386" s="20" t="str">
        <f t="shared" si="5"/>
        <v/>
      </c>
    </row>
    <row r="387" spans="7:7" x14ac:dyDescent="0.25">
      <c r="G387" s="20" t="str">
        <f t="shared" ref="G387:G450" si="6">IF(F387&lt;&gt;"",E387*F387,"")</f>
        <v/>
      </c>
    </row>
    <row r="388" spans="7:7" x14ac:dyDescent="0.25">
      <c r="G388" s="20" t="str">
        <f t="shared" si="6"/>
        <v/>
      </c>
    </row>
    <row r="389" spans="7:7" x14ac:dyDescent="0.25">
      <c r="G389" s="20" t="str">
        <f t="shared" si="6"/>
        <v/>
      </c>
    </row>
    <row r="390" spans="7:7" x14ac:dyDescent="0.25">
      <c r="G390" s="20" t="str">
        <f t="shared" si="6"/>
        <v/>
      </c>
    </row>
    <row r="391" spans="7:7" x14ac:dyDescent="0.25">
      <c r="G391" s="20" t="str">
        <f t="shared" si="6"/>
        <v/>
      </c>
    </row>
    <row r="392" spans="7:7" x14ac:dyDescent="0.25">
      <c r="G392" s="20" t="str">
        <f t="shared" si="6"/>
        <v/>
      </c>
    </row>
    <row r="393" spans="7:7" x14ac:dyDescent="0.25">
      <c r="G393" s="20" t="str">
        <f t="shared" si="6"/>
        <v/>
      </c>
    </row>
    <row r="394" spans="7:7" x14ac:dyDescent="0.25">
      <c r="G394" s="20" t="str">
        <f t="shared" si="6"/>
        <v/>
      </c>
    </row>
    <row r="395" spans="7:7" x14ac:dyDescent="0.25">
      <c r="G395" s="20" t="str">
        <f t="shared" si="6"/>
        <v/>
      </c>
    </row>
    <row r="396" spans="7:7" x14ac:dyDescent="0.25">
      <c r="G396" s="20" t="str">
        <f t="shared" si="6"/>
        <v/>
      </c>
    </row>
    <row r="397" spans="7:7" x14ac:dyDescent="0.25">
      <c r="G397" s="20" t="str">
        <f t="shared" si="6"/>
        <v/>
      </c>
    </row>
    <row r="398" spans="7:7" x14ac:dyDescent="0.25">
      <c r="G398" s="20" t="str">
        <f t="shared" si="6"/>
        <v/>
      </c>
    </row>
    <row r="399" spans="7:7" x14ac:dyDescent="0.25">
      <c r="G399" s="20" t="str">
        <f t="shared" si="6"/>
        <v/>
      </c>
    </row>
    <row r="400" spans="7:7" x14ac:dyDescent="0.25">
      <c r="G400" s="20" t="str">
        <f t="shared" si="6"/>
        <v/>
      </c>
    </row>
    <row r="401" spans="7:7" x14ac:dyDescent="0.25">
      <c r="G401" s="20" t="str">
        <f t="shared" si="6"/>
        <v/>
      </c>
    </row>
    <row r="402" spans="7:7" x14ac:dyDescent="0.25">
      <c r="G402" s="20" t="str">
        <f t="shared" si="6"/>
        <v/>
      </c>
    </row>
    <row r="403" spans="7:7" x14ac:dyDescent="0.25">
      <c r="G403" s="20" t="str">
        <f t="shared" si="6"/>
        <v/>
      </c>
    </row>
    <row r="404" spans="7:7" x14ac:dyDescent="0.25">
      <c r="G404" s="20" t="str">
        <f t="shared" si="6"/>
        <v/>
      </c>
    </row>
    <row r="405" spans="7:7" x14ac:dyDescent="0.25">
      <c r="G405" s="20" t="str">
        <f t="shared" si="6"/>
        <v/>
      </c>
    </row>
    <row r="406" spans="7:7" x14ac:dyDescent="0.25">
      <c r="G406" s="20" t="str">
        <f t="shared" si="6"/>
        <v/>
      </c>
    </row>
    <row r="407" spans="7:7" x14ac:dyDescent="0.25">
      <c r="G407" s="20" t="str">
        <f t="shared" si="6"/>
        <v/>
      </c>
    </row>
    <row r="408" spans="7:7" x14ac:dyDescent="0.25">
      <c r="G408" s="20" t="str">
        <f t="shared" si="6"/>
        <v/>
      </c>
    </row>
    <row r="409" spans="7:7" x14ac:dyDescent="0.25">
      <c r="G409" s="20" t="str">
        <f t="shared" si="6"/>
        <v/>
      </c>
    </row>
    <row r="410" spans="7:7" x14ac:dyDescent="0.25">
      <c r="G410" s="20" t="str">
        <f t="shared" si="6"/>
        <v/>
      </c>
    </row>
    <row r="411" spans="7:7" x14ac:dyDescent="0.25">
      <c r="G411" s="20" t="str">
        <f t="shared" si="6"/>
        <v/>
      </c>
    </row>
    <row r="412" spans="7:7" x14ac:dyDescent="0.25">
      <c r="G412" s="20" t="str">
        <f t="shared" si="6"/>
        <v/>
      </c>
    </row>
    <row r="413" spans="7:7" x14ac:dyDescent="0.25">
      <c r="G413" s="20" t="str">
        <f t="shared" si="6"/>
        <v/>
      </c>
    </row>
    <row r="414" spans="7:7" x14ac:dyDescent="0.25">
      <c r="G414" s="20" t="str">
        <f t="shared" si="6"/>
        <v/>
      </c>
    </row>
    <row r="415" spans="7:7" x14ac:dyDescent="0.25">
      <c r="G415" s="20" t="str">
        <f t="shared" si="6"/>
        <v/>
      </c>
    </row>
    <row r="416" spans="7:7" x14ac:dyDescent="0.25">
      <c r="G416" s="20" t="str">
        <f t="shared" si="6"/>
        <v/>
      </c>
    </row>
    <row r="417" spans="7:7" x14ac:dyDescent="0.25">
      <c r="G417" s="20" t="str">
        <f t="shared" si="6"/>
        <v/>
      </c>
    </row>
    <row r="418" spans="7:7" x14ac:dyDescent="0.25">
      <c r="G418" s="20" t="str">
        <f t="shared" si="6"/>
        <v/>
      </c>
    </row>
    <row r="419" spans="7:7" x14ac:dyDescent="0.25">
      <c r="G419" s="20" t="str">
        <f t="shared" si="6"/>
        <v/>
      </c>
    </row>
    <row r="420" spans="7:7" x14ac:dyDescent="0.25">
      <c r="G420" s="20" t="str">
        <f t="shared" si="6"/>
        <v/>
      </c>
    </row>
    <row r="421" spans="7:7" x14ac:dyDescent="0.25">
      <c r="G421" s="20" t="str">
        <f t="shared" si="6"/>
        <v/>
      </c>
    </row>
    <row r="422" spans="7:7" x14ac:dyDescent="0.25">
      <c r="G422" s="20" t="str">
        <f t="shared" si="6"/>
        <v/>
      </c>
    </row>
    <row r="423" spans="7:7" x14ac:dyDescent="0.25">
      <c r="G423" s="20" t="str">
        <f t="shared" si="6"/>
        <v/>
      </c>
    </row>
    <row r="424" spans="7:7" x14ac:dyDescent="0.25">
      <c r="G424" s="20" t="str">
        <f t="shared" si="6"/>
        <v/>
      </c>
    </row>
    <row r="425" spans="7:7" x14ac:dyDescent="0.25">
      <c r="G425" s="20" t="str">
        <f t="shared" si="6"/>
        <v/>
      </c>
    </row>
    <row r="426" spans="7:7" x14ac:dyDescent="0.25">
      <c r="G426" s="20" t="str">
        <f t="shared" si="6"/>
        <v/>
      </c>
    </row>
    <row r="427" spans="7:7" x14ac:dyDescent="0.25">
      <c r="G427" s="20" t="str">
        <f t="shared" si="6"/>
        <v/>
      </c>
    </row>
    <row r="428" spans="7:7" x14ac:dyDescent="0.25">
      <c r="G428" s="20" t="str">
        <f t="shared" si="6"/>
        <v/>
      </c>
    </row>
    <row r="429" spans="7:7" x14ac:dyDescent="0.25">
      <c r="G429" s="20" t="str">
        <f t="shared" si="6"/>
        <v/>
      </c>
    </row>
    <row r="430" spans="7:7" x14ac:dyDescent="0.25">
      <c r="G430" s="20" t="str">
        <f t="shared" si="6"/>
        <v/>
      </c>
    </row>
    <row r="431" spans="7:7" x14ac:dyDescent="0.25">
      <c r="G431" s="20" t="str">
        <f t="shared" si="6"/>
        <v/>
      </c>
    </row>
    <row r="432" spans="7:7" x14ac:dyDescent="0.25">
      <c r="G432" s="20" t="str">
        <f t="shared" si="6"/>
        <v/>
      </c>
    </row>
    <row r="433" spans="7:7" x14ac:dyDescent="0.25">
      <c r="G433" s="20" t="str">
        <f t="shared" si="6"/>
        <v/>
      </c>
    </row>
    <row r="434" spans="7:7" x14ac:dyDescent="0.25">
      <c r="G434" s="20" t="str">
        <f t="shared" si="6"/>
        <v/>
      </c>
    </row>
    <row r="435" spans="7:7" x14ac:dyDescent="0.25">
      <c r="G435" s="20" t="str">
        <f t="shared" si="6"/>
        <v/>
      </c>
    </row>
    <row r="436" spans="7:7" x14ac:dyDescent="0.25">
      <c r="G436" s="20" t="str">
        <f t="shared" si="6"/>
        <v/>
      </c>
    </row>
    <row r="437" spans="7:7" x14ac:dyDescent="0.25">
      <c r="G437" s="20" t="str">
        <f t="shared" si="6"/>
        <v/>
      </c>
    </row>
    <row r="438" spans="7:7" x14ac:dyDescent="0.25">
      <c r="G438" s="20" t="str">
        <f t="shared" si="6"/>
        <v/>
      </c>
    </row>
    <row r="439" spans="7:7" x14ac:dyDescent="0.25">
      <c r="G439" s="20" t="str">
        <f t="shared" si="6"/>
        <v/>
      </c>
    </row>
    <row r="440" spans="7:7" x14ac:dyDescent="0.25">
      <c r="G440" s="20" t="str">
        <f t="shared" si="6"/>
        <v/>
      </c>
    </row>
    <row r="441" spans="7:7" x14ac:dyDescent="0.25">
      <c r="G441" s="20" t="str">
        <f t="shared" si="6"/>
        <v/>
      </c>
    </row>
    <row r="442" spans="7:7" x14ac:dyDescent="0.25">
      <c r="G442" s="20" t="str">
        <f t="shared" si="6"/>
        <v/>
      </c>
    </row>
    <row r="443" spans="7:7" x14ac:dyDescent="0.25">
      <c r="G443" s="20" t="str">
        <f t="shared" si="6"/>
        <v/>
      </c>
    </row>
    <row r="444" spans="7:7" x14ac:dyDescent="0.25">
      <c r="G444" s="20" t="str">
        <f t="shared" si="6"/>
        <v/>
      </c>
    </row>
    <row r="445" spans="7:7" x14ac:dyDescent="0.25">
      <c r="G445" s="20" t="str">
        <f t="shared" si="6"/>
        <v/>
      </c>
    </row>
    <row r="446" spans="7:7" x14ac:dyDescent="0.25">
      <c r="G446" s="20" t="str">
        <f t="shared" si="6"/>
        <v/>
      </c>
    </row>
    <row r="447" spans="7:7" x14ac:dyDescent="0.25">
      <c r="G447" s="20" t="str">
        <f t="shared" si="6"/>
        <v/>
      </c>
    </row>
    <row r="448" spans="7:7" x14ac:dyDescent="0.25">
      <c r="G448" s="20" t="str">
        <f t="shared" si="6"/>
        <v/>
      </c>
    </row>
    <row r="449" spans="7:7" x14ac:dyDescent="0.25">
      <c r="G449" s="20" t="str">
        <f t="shared" si="6"/>
        <v/>
      </c>
    </row>
    <row r="450" spans="7:7" x14ac:dyDescent="0.25">
      <c r="G450" s="20" t="str">
        <f t="shared" si="6"/>
        <v/>
      </c>
    </row>
    <row r="451" spans="7:7" x14ac:dyDescent="0.25">
      <c r="G451" s="20" t="str">
        <f t="shared" ref="G451:G514" si="7">IF(F451&lt;&gt;"",E451*F451,"")</f>
        <v/>
      </c>
    </row>
    <row r="452" spans="7:7" x14ac:dyDescent="0.25">
      <c r="G452" s="20" t="str">
        <f t="shared" si="7"/>
        <v/>
      </c>
    </row>
    <row r="453" spans="7:7" x14ac:dyDescent="0.25">
      <c r="G453" s="20" t="str">
        <f t="shared" si="7"/>
        <v/>
      </c>
    </row>
    <row r="454" spans="7:7" x14ac:dyDescent="0.25">
      <c r="G454" s="20" t="str">
        <f t="shared" si="7"/>
        <v/>
      </c>
    </row>
    <row r="455" spans="7:7" x14ac:dyDescent="0.25">
      <c r="G455" s="20" t="str">
        <f t="shared" si="7"/>
        <v/>
      </c>
    </row>
    <row r="456" spans="7:7" x14ac:dyDescent="0.25">
      <c r="G456" s="20" t="str">
        <f t="shared" si="7"/>
        <v/>
      </c>
    </row>
    <row r="457" spans="7:7" x14ac:dyDescent="0.25">
      <c r="G457" s="20" t="str">
        <f t="shared" si="7"/>
        <v/>
      </c>
    </row>
    <row r="458" spans="7:7" x14ac:dyDescent="0.25">
      <c r="G458" s="20" t="str">
        <f t="shared" si="7"/>
        <v/>
      </c>
    </row>
    <row r="459" spans="7:7" x14ac:dyDescent="0.25">
      <c r="G459" s="20" t="str">
        <f t="shared" si="7"/>
        <v/>
      </c>
    </row>
    <row r="460" spans="7:7" x14ac:dyDescent="0.25">
      <c r="G460" s="20" t="str">
        <f t="shared" si="7"/>
        <v/>
      </c>
    </row>
    <row r="461" spans="7:7" x14ac:dyDescent="0.25">
      <c r="G461" s="20" t="str">
        <f t="shared" si="7"/>
        <v/>
      </c>
    </row>
    <row r="462" spans="7:7" x14ac:dyDescent="0.25">
      <c r="G462" s="20" t="str">
        <f t="shared" si="7"/>
        <v/>
      </c>
    </row>
    <row r="463" spans="7:7" x14ac:dyDescent="0.25">
      <c r="G463" s="20" t="str">
        <f t="shared" si="7"/>
        <v/>
      </c>
    </row>
    <row r="464" spans="7:7" x14ac:dyDescent="0.25">
      <c r="G464" s="20" t="str">
        <f t="shared" si="7"/>
        <v/>
      </c>
    </row>
    <row r="465" spans="7:7" x14ac:dyDescent="0.25">
      <c r="G465" s="20" t="str">
        <f t="shared" si="7"/>
        <v/>
      </c>
    </row>
    <row r="466" spans="7:7" x14ac:dyDescent="0.25">
      <c r="G466" s="20" t="str">
        <f t="shared" si="7"/>
        <v/>
      </c>
    </row>
    <row r="467" spans="7:7" x14ac:dyDescent="0.25">
      <c r="G467" s="20" t="str">
        <f t="shared" si="7"/>
        <v/>
      </c>
    </row>
    <row r="468" spans="7:7" x14ac:dyDescent="0.25">
      <c r="G468" s="20" t="str">
        <f t="shared" si="7"/>
        <v/>
      </c>
    </row>
    <row r="469" spans="7:7" x14ac:dyDescent="0.25">
      <c r="G469" s="20" t="str">
        <f t="shared" si="7"/>
        <v/>
      </c>
    </row>
    <row r="470" spans="7:7" x14ac:dyDescent="0.25">
      <c r="G470" s="20" t="str">
        <f t="shared" si="7"/>
        <v/>
      </c>
    </row>
    <row r="471" spans="7:7" x14ac:dyDescent="0.25">
      <c r="G471" s="20" t="str">
        <f t="shared" si="7"/>
        <v/>
      </c>
    </row>
    <row r="472" spans="7:7" x14ac:dyDescent="0.25">
      <c r="G472" s="20" t="str">
        <f t="shared" si="7"/>
        <v/>
      </c>
    </row>
    <row r="473" spans="7:7" x14ac:dyDescent="0.25">
      <c r="G473" s="20" t="str">
        <f t="shared" si="7"/>
        <v/>
      </c>
    </row>
    <row r="474" spans="7:7" x14ac:dyDescent="0.25">
      <c r="G474" s="20" t="str">
        <f t="shared" si="7"/>
        <v/>
      </c>
    </row>
    <row r="475" spans="7:7" x14ac:dyDescent="0.25">
      <c r="G475" s="20" t="str">
        <f t="shared" si="7"/>
        <v/>
      </c>
    </row>
    <row r="476" spans="7:7" x14ac:dyDescent="0.25">
      <c r="G476" s="20" t="str">
        <f t="shared" si="7"/>
        <v/>
      </c>
    </row>
    <row r="477" spans="7:7" x14ac:dyDescent="0.25">
      <c r="G477" s="20" t="str">
        <f t="shared" si="7"/>
        <v/>
      </c>
    </row>
    <row r="478" spans="7:7" x14ac:dyDescent="0.25">
      <c r="G478" s="20" t="str">
        <f t="shared" si="7"/>
        <v/>
      </c>
    </row>
    <row r="479" spans="7:7" x14ac:dyDescent="0.25">
      <c r="G479" s="20" t="str">
        <f t="shared" si="7"/>
        <v/>
      </c>
    </row>
    <row r="480" spans="7:7" x14ac:dyDescent="0.25">
      <c r="G480" s="20" t="str">
        <f t="shared" si="7"/>
        <v/>
      </c>
    </row>
    <row r="481" spans="7:7" x14ac:dyDescent="0.25">
      <c r="G481" s="20" t="str">
        <f t="shared" si="7"/>
        <v/>
      </c>
    </row>
    <row r="482" spans="7:7" x14ac:dyDescent="0.25">
      <c r="G482" s="20" t="str">
        <f t="shared" si="7"/>
        <v/>
      </c>
    </row>
    <row r="483" spans="7:7" x14ac:dyDescent="0.25">
      <c r="G483" s="20" t="str">
        <f t="shared" si="7"/>
        <v/>
      </c>
    </row>
    <row r="484" spans="7:7" x14ac:dyDescent="0.25">
      <c r="G484" s="20" t="str">
        <f t="shared" si="7"/>
        <v/>
      </c>
    </row>
    <row r="485" spans="7:7" x14ac:dyDescent="0.25">
      <c r="G485" s="20" t="str">
        <f t="shared" si="7"/>
        <v/>
      </c>
    </row>
    <row r="486" spans="7:7" x14ac:dyDescent="0.25">
      <c r="G486" s="20" t="str">
        <f t="shared" si="7"/>
        <v/>
      </c>
    </row>
    <row r="487" spans="7:7" x14ac:dyDescent="0.25">
      <c r="G487" s="20" t="str">
        <f t="shared" si="7"/>
        <v/>
      </c>
    </row>
    <row r="488" spans="7:7" x14ac:dyDescent="0.25">
      <c r="G488" s="20" t="str">
        <f t="shared" si="7"/>
        <v/>
      </c>
    </row>
    <row r="489" spans="7:7" x14ac:dyDescent="0.25">
      <c r="G489" s="20" t="str">
        <f t="shared" si="7"/>
        <v/>
      </c>
    </row>
    <row r="490" spans="7:7" x14ac:dyDescent="0.25">
      <c r="G490" s="20" t="str">
        <f t="shared" si="7"/>
        <v/>
      </c>
    </row>
    <row r="491" spans="7:7" x14ac:dyDescent="0.25">
      <c r="G491" s="20" t="str">
        <f t="shared" si="7"/>
        <v/>
      </c>
    </row>
    <row r="492" spans="7:7" x14ac:dyDescent="0.25">
      <c r="G492" s="20" t="str">
        <f t="shared" si="7"/>
        <v/>
      </c>
    </row>
    <row r="493" spans="7:7" x14ac:dyDescent="0.25">
      <c r="G493" s="20" t="str">
        <f t="shared" si="7"/>
        <v/>
      </c>
    </row>
    <row r="494" spans="7:7" x14ac:dyDescent="0.25">
      <c r="G494" s="20" t="str">
        <f t="shared" si="7"/>
        <v/>
      </c>
    </row>
    <row r="495" spans="7:7" x14ac:dyDescent="0.25">
      <c r="G495" s="20" t="str">
        <f t="shared" si="7"/>
        <v/>
      </c>
    </row>
    <row r="496" spans="7:7" x14ac:dyDescent="0.25">
      <c r="G496" s="20" t="str">
        <f t="shared" si="7"/>
        <v/>
      </c>
    </row>
    <row r="497" spans="7:7" x14ac:dyDescent="0.25">
      <c r="G497" s="20" t="str">
        <f t="shared" si="7"/>
        <v/>
      </c>
    </row>
    <row r="498" spans="7:7" x14ac:dyDescent="0.25">
      <c r="G498" s="20" t="str">
        <f t="shared" si="7"/>
        <v/>
      </c>
    </row>
    <row r="499" spans="7:7" x14ac:dyDescent="0.25">
      <c r="G499" s="20" t="str">
        <f t="shared" si="7"/>
        <v/>
      </c>
    </row>
    <row r="500" spans="7:7" x14ac:dyDescent="0.25">
      <c r="G500" s="20" t="str">
        <f t="shared" si="7"/>
        <v/>
      </c>
    </row>
    <row r="501" spans="7:7" x14ac:dyDescent="0.25">
      <c r="G501" s="20" t="str">
        <f t="shared" si="7"/>
        <v/>
      </c>
    </row>
    <row r="502" spans="7:7" x14ac:dyDescent="0.25">
      <c r="G502" s="20" t="str">
        <f t="shared" si="7"/>
        <v/>
      </c>
    </row>
    <row r="503" spans="7:7" x14ac:dyDescent="0.25">
      <c r="G503" s="20" t="str">
        <f t="shared" si="7"/>
        <v/>
      </c>
    </row>
    <row r="504" spans="7:7" x14ac:dyDescent="0.25">
      <c r="G504" s="20" t="str">
        <f t="shared" si="7"/>
        <v/>
      </c>
    </row>
    <row r="505" spans="7:7" x14ac:dyDescent="0.25">
      <c r="G505" s="20" t="str">
        <f t="shared" si="7"/>
        <v/>
      </c>
    </row>
    <row r="506" spans="7:7" x14ac:dyDescent="0.25">
      <c r="G506" s="20" t="str">
        <f t="shared" si="7"/>
        <v/>
      </c>
    </row>
    <row r="507" spans="7:7" x14ac:dyDescent="0.25">
      <c r="G507" s="20" t="str">
        <f t="shared" si="7"/>
        <v/>
      </c>
    </row>
    <row r="508" spans="7:7" x14ac:dyDescent="0.25">
      <c r="G508" s="20" t="str">
        <f t="shared" si="7"/>
        <v/>
      </c>
    </row>
    <row r="509" spans="7:7" x14ac:dyDescent="0.25">
      <c r="G509" s="20" t="str">
        <f t="shared" si="7"/>
        <v/>
      </c>
    </row>
    <row r="510" spans="7:7" x14ac:dyDescent="0.25">
      <c r="G510" s="20" t="str">
        <f t="shared" si="7"/>
        <v/>
      </c>
    </row>
    <row r="511" spans="7:7" x14ac:dyDescent="0.25">
      <c r="G511" s="20" t="str">
        <f t="shared" si="7"/>
        <v/>
      </c>
    </row>
    <row r="512" spans="7:7" x14ac:dyDescent="0.25">
      <c r="G512" s="20" t="str">
        <f t="shared" si="7"/>
        <v/>
      </c>
    </row>
    <row r="513" spans="7:7" x14ac:dyDescent="0.25">
      <c r="G513" s="20" t="str">
        <f t="shared" si="7"/>
        <v/>
      </c>
    </row>
    <row r="514" spans="7:7" x14ac:dyDescent="0.25">
      <c r="G514" s="20" t="str">
        <f t="shared" si="7"/>
        <v/>
      </c>
    </row>
    <row r="515" spans="7:7" x14ac:dyDescent="0.25">
      <c r="G515" s="20" t="str">
        <f t="shared" ref="G515:G578" si="8">IF(F515&lt;&gt;"",E515*F515,"")</f>
        <v/>
      </c>
    </row>
    <row r="516" spans="7:7" x14ac:dyDescent="0.25">
      <c r="G516" s="20" t="str">
        <f t="shared" si="8"/>
        <v/>
      </c>
    </row>
    <row r="517" spans="7:7" x14ac:dyDescent="0.25">
      <c r="G517" s="20" t="str">
        <f t="shared" si="8"/>
        <v/>
      </c>
    </row>
    <row r="518" spans="7:7" x14ac:dyDescent="0.25">
      <c r="G518" s="20" t="str">
        <f t="shared" si="8"/>
        <v/>
      </c>
    </row>
    <row r="519" spans="7:7" x14ac:dyDescent="0.25">
      <c r="G519" s="20" t="str">
        <f t="shared" si="8"/>
        <v/>
      </c>
    </row>
    <row r="520" spans="7:7" x14ac:dyDescent="0.25">
      <c r="G520" s="20" t="str">
        <f t="shared" si="8"/>
        <v/>
      </c>
    </row>
    <row r="521" spans="7:7" x14ac:dyDescent="0.25">
      <c r="G521" s="20" t="str">
        <f t="shared" si="8"/>
        <v/>
      </c>
    </row>
    <row r="522" spans="7:7" x14ac:dyDescent="0.25">
      <c r="G522" s="20" t="str">
        <f t="shared" si="8"/>
        <v/>
      </c>
    </row>
    <row r="523" spans="7:7" x14ac:dyDescent="0.25">
      <c r="G523" s="20" t="str">
        <f t="shared" si="8"/>
        <v/>
      </c>
    </row>
    <row r="524" spans="7:7" x14ac:dyDescent="0.25">
      <c r="G524" s="20" t="str">
        <f t="shared" si="8"/>
        <v/>
      </c>
    </row>
    <row r="525" spans="7:7" x14ac:dyDescent="0.25">
      <c r="G525" s="20" t="str">
        <f t="shared" si="8"/>
        <v/>
      </c>
    </row>
    <row r="526" spans="7:7" x14ac:dyDescent="0.25">
      <c r="G526" s="20" t="str">
        <f t="shared" si="8"/>
        <v/>
      </c>
    </row>
    <row r="527" spans="7:7" x14ac:dyDescent="0.25">
      <c r="G527" s="20" t="str">
        <f t="shared" si="8"/>
        <v/>
      </c>
    </row>
    <row r="528" spans="7:7" x14ac:dyDescent="0.25">
      <c r="G528" s="20" t="str">
        <f t="shared" si="8"/>
        <v/>
      </c>
    </row>
    <row r="529" spans="7:7" x14ac:dyDescent="0.25">
      <c r="G529" s="20" t="str">
        <f t="shared" si="8"/>
        <v/>
      </c>
    </row>
    <row r="530" spans="7:7" x14ac:dyDescent="0.25">
      <c r="G530" s="20" t="str">
        <f t="shared" si="8"/>
        <v/>
      </c>
    </row>
    <row r="531" spans="7:7" x14ac:dyDescent="0.25">
      <c r="G531" s="20" t="str">
        <f t="shared" si="8"/>
        <v/>
      </c>
    </row>
    <row r="532" spans="7:7" x14ac:dyDescent="0.25">
      <c r="G532" s="20" t="str">
        <f t="shared" si="8"/>
        <v/>
      </c>
    </row>
    <row r="533" spans="7:7" x14ac:dyDescent="0.25">
      <c r="G533" s="20" t="str">
        <f t="shared" si="8"/>
        <v/>
      </c>
    </row>
    <row r="534" spans="7:7" x14ac:dyDescent="0.25">
      <c r="G534" s="20" t="str">
        <f t="shared" si="8"/>
        <v/>
      </c>
    </row>
    <row r="535" spans="7:7" x14ac:dyDescent="0.25">
      <c r="G535" s="20" t="str">
        <f t="shared" si="8"/>
        <v/>
      </c>
    </row>
    <row r="536" spans="7:7" x14ac:dyDescent="0.25">
      <c r="G536" s="20" t="str">
        <f t="shared" si="8"/>
        <v/>
      </c>
    </row>
    <row r="537" spans="7:7" x14ac:dyDescent="0.25">
      <c r="G537" s="20" t="str">
        <f t="shared" si="8"/>
        <v/>
      </c>
    </row>
    <row r="538" spans="7:7" x14ac:dyDescent="0.25">
      <c r="G538" s="20" t="str">
        <f t="shared" si="8"/>
        <v/>
      </c>
    </row>
    <row r="539" spans="7:7" x14ac:dyDescent="0.25">
      <c r="G539" s="20" t="str">
        <f t="shared" si="8"/>
        <v/>
      </c>
    </row>
    <row r="540" spans="7:7" x14ac:dyDescent="0.25">
      <c r="G540" s="20" t="str">
        <f t="shared" si="8"/>
        <v/>
      </c>
    </row>
    <row r="541" spans="7:7" x14ac:dyDescent="0.25">
      <c r="G541" s="20" t="str">
        <f t="shared" si="8"/>
        <v/>
      </c>
    </row>
    <row r="542" spans="7:7" x14ac:dyDescent="0.25">
      <c r="G542" s="20" t="str">
        <f t="shared" si="8"/>
        <v/>
      </c>
    </row>
    <row r="543" spans="7:7" x14ac:dyDescent="0.25">
      <c r="G543" s="20" t="str">
        <f t="shared" si="8"/>
        <v/>
      </c>
    </row>
    <row r="544" spans="7:7" x14ac:dyDescent="0.25">
      <c r="G544" s="20" t="str">
        <f t="shared" si="8"/>
        <v/>
      </c>
    </row>
    <row r="545" spans="7:7" x14ac:dyDescent="0.25">
      <c r="G545" s="20" t="str">
        <f t="shared" si="8"/>
        <v/>
      </c>
    </row>
    <row r="546" spans="7:7" x14ac:dyDescent="0.25">
      <c r="G546" s="20" t="str">
        <f t="shared" si="8"/>
        <v/>
      </c>
    </row>
    <row r="547" spans="7:7" x14ac:dyDescent="0.25">
      <c r="G547" s="20" t="str">
        <f t="shared" si="8"/>
        <v/>
      </c>
    </row>
    <row r="548" spans="7:7" x14ac:dyDescent="0.25">
      <c r="G548" s="20" t="str">
        <f t="shared" si="8"/>
        <v/>
      </c>
    </row>
    <row r="549" spans="7:7" x14ac:dyDescent="0.25">
      <c r="G549" s="20" t="str">
        <f t="shared" si="8"/>
        <v/>
      </c>
    </row>
    <row r="550" spans="7:7" x14ac:dyDescent="0.25">
      <c r="G550" s="20" t="str">
        <f t="shared" si="8"/>
        <v/>
      </c>
    </row>
    <row r="551" spans="7:7" x14ac:dyDescent="0.25">
      <c r="G551" s="20" t="str">
        <f t="shared" si="8"/>
        <v/>
      </c>
    </row>
    <row r="552" spans="7:7" x14ac:dyDescent="0.25">
      <c r="G552" s="20" t="str">
        <f t="shared" si="8"/>
        <v/>
      </c>
    </row>
    <row r="553" spans="7:7" x14ac:dyDescent="0.25">
      <c r="G553" s="20" t="str">
        <f t="shared" si="8"/>
        <v/>
      </c>
    </row>
    <row r="554" spans="7:7" x14ac:dyDescent="0.25">
      <c r="G554" s="20" t="str">
        <f t="shared" si="8"/>
        <v/>
      </c>
    </row>
    <row r="555" spans="7:7" x14ac:dyDescent="0.25">
      <c r="G555" s="20" t="str">
        <f t="shared" si="8"/>
        <v/>
      </c>
    </row>
    <row r="556" spans="7:7" x14ac:dyDescent="0.25">
      <c r="G556" s="20" t="str">
        <f t="shared" si="8"/>
        <v/>
      </c>
    </row>
    <row r="557" spans="7:7" x14ac:dyDescent="0.25">
      <c r="G557" s="20" t="str">
        <f t="shared" si="8"/>
        <v/>
      </c>
    </row>
    <row r="558" spans="7:7" x14ac:dyDescent="0.25">
      <c r="G558" s="20" t="str">
        <f t="shared" si="8"/>
        <v/>
      </c>
    </row>
    <row r="559" spans="7:7" x14ac:dyDescent="0.25">
      <c r="G559" s="20" t="str">
        <f t="shared" si="8"/>
        <v/>
      </c>
    </row>
    <row r="560" spans="7:7" x14ac:dyDescent="0.25">
      <c r="G560" s="20" t="str">
        <f t="shared" si="8"/>
        <v/>
      </c>
    </row>
    <row r="561" spans="7:7" x14ac:dyDescent="0.25">
      <c r="G561" s="20" t="str">
        <f t="shared" si="8"/>
        <v/>
      </c>
    </row>
    <row r="562" spans="7:7" x14ac:dyDescent="0.25">
      <c r="G562" s="20" t="str">
        <f t="shared" si="8"/>
        <v/>
      </c>
    </row>
    <row r="563" spans="7:7" x14ac:dyDescent="0.25">
      <c r="G563" s="20" t="str">
        <f t="shared" si="8"/>
        <v/>
      </c>
    </row>
    <row r="564" spans="7:7" x14ac:dyDescent="0.25">
      <c r="G564" s="20" t="str">
        <f t="shared" si="8"/>
        <v/>
      </c>
    </row>
    <row r="565" spans="7:7" x14ac:dyDescent="0.25">
      <c r="G565" s="20" t="str">
        <f t="shared" si="8"/>
        <v/>
      </c>
    </row>
    <row r="566" spans="7:7" x14ac:dyDescent="0.25">
      <c r="G566" s="20" t="str">
        <f t="shared" si="8"/>
        <v/>
      </c>
    </row>
    <row r="567" spans="7:7" x14ac:dyDescent="0.25">
      <c r="G567" s="20" t="str">
        <f t="shared" si="8"/>
        <v/>
      </c>
    </row>
    <row r="568" spans="7:7" x14ac:dyDescent="0.25">
      <c r="G568" s="20" t="str">
        <f t="shared" si="8"/>
        <v/>
      </c>
    </row>
    <row r="569" spans="7:7" x14ac:dyDescent="0.25">
      <c r="G569" s="20" t="str">
        <f t="shared" si="8"/>
        <v/>
      </c>
    </row>
    <row r="570" spans="7:7" x14ac:dyDescent="0.25">
      <c r="G570" s="20" t="str">
        <f t="shared" si="8"/>
        <v/>
      </c>
    </row>
    <row r="571" spans="7:7" x14ac:dyDescent="0.25">
      <c r="G571" s="20" t="str">
        <f t="shared" si="8"/>
        <v/>
      </c>
    </row>
    <row r="572" spans="7:7" x14ac:dyDescent="0.25">
      <c r="G572" s="20" t="str">
        <f t="shared" si="8"/>
        <v/>
      </c>
    </row>
    <row r="573" spans="7:7" x14ac:dyDescent="0.25">
      <c r="G573" s="20" t="str">
        <f t="shared" si="8"/>
        <v/>
      </c>
    </row>
    <row r="574" spans="7:7" x14ac:dyDescent="0.25">
      <c r="G574" s="20" t="str">
        <f t="shared" si="8"/>
        <v/>
      </c>
    </row>
    <row r="575" spans="7:7" x14ac:dyDescent="0.25">
      <c r="G575" s="20" t="str">
        <f t="shared" si="8"/>
        <v/>
      </c>
    </row>
    <row r="576" spans="7:7" x14ac:dyDescent="0.25">
      <c r="G576" s="20" t="str">
        <f t="shared" si="8"/>
        <v/>
      </c>
    </row>
    <row r="577" spans="7:7" x14ac:dyDescent="0.25">
      <c r="G577" s="20" t="str">
        <f t="shared" si="8"/>
        <v/>
      </c>
    </row>
    <row r="578" spans="7:7" x14ac:dyDescent="0.25">
      <c r="G578" s="20" t="str">
        <f t="shared" si="8"/>
        <v/>
      </c>
    </row>
    <row r="579" spans="7:7" x14ac:dyDescent="0.25">
      <c r="G579" s="20" t="str">
        <f t="shared" ref="G579:G642" si="9">IF(F579&lt;&gt;"",E579*F579,"")</f>
        <v/>
      </c>
    </row>
    <row r="580" spans="7:7" x14ac:dyDescent="0.25">
      <c r="G580" s="20" t="str">
        <f t="shared" si="9"/>
        <v/>
      </c>
    </row>
    <row r="581" spans="7:7" x14ac:dyDescent="0.25">
      <c r="G581" s="20" t="str">
        <f t="shared" si="9"/>
        <v/>
      </c>
    </row>
    <row r="582" spans="7:7" x14ac:dyDescent="0.25">
      <c r="G582" s="20" t="str">
        <f t="shared" si="9"/>
        <v/>
      </c>
    </row>
    <row r="583" spans="7:7" x14ac:dyDescent="0.25">
      <c r="G583" s="20" t="str">
        <f t="shared" si="9"/>
        <v/>
      </c>
    </row>
    <row r="584" spans="7:7" x14ac:dyDescent="0.25">
      <c r="G584" s="20" t="str">
        <f t="shared" si="9"/>
        <v/>
      </c>
    </row>
    <row r="585" spans="7:7" x14ac:dyDescent="0.25">
      <c r="G585" s="20" t="str">
        <f t="shared" si="9"/>
        <v/>
      </c>
    </row>
    <row r="586" spans="7:7" x14ac:dyDescent="0.25">
      <c r="G586" s="20" t="str">
        <f t="shared" si="9"/>
        <v/>
      </c>
    </row>
    <row r="587" spans="7:7" x14ac:dyDescent="0.25">
      <c r="G587" s="20" t="str">
        <f t="shared" si="9"/>
        <v/>
      </c>
    </row>
    <row r="588" spans="7:7" x14ac:dyDescent="0.25">
      <c r="G588" s="20" t="str">
        <f t="shared" si="9"/>
        <v/>
      </c>
    </row>
    <row r="589" spans="7:7" x14ac:dyDescent="0.25">
      <c r="G589" s="20" t="str">
        <f t="shared" si="9"/>
        <v/>
      </c>
    </row>
    <row r="590" spans="7:7" x14ac:dyDescent="0.25">
      <c r="G590" s="20" t="str">
        <f t="shared" si="9"/>
        <v/>
      </c>
    </row>
    <row r="591" spans="7:7" x14ac:dyDescent="0.25">
      <c r="G591" s="20" t="str">
        <f t="shared" si="9"/>
        <v/>
      </c>
    </row>
    <row r="592" spans="7:7" x14ac:dyDescent="0.25">
      <c r="G592" s="20" t="str">
        <f t="shared" si="9"/>
        <v/>
      </c>
    </row>
    <row r="593" spans="7:7" x14ac:dyDescent="0.25">
      <c r="G593" s="20" t="str">
        <f t="shared" si="9"/>
        <v/>
      </c>
    </row>
    <row r="594" spans="7:7" x14ac:dyDescent="0.25">
      <c r="G594" s="20" t="str">
        <f t="shared" si="9"/>
        <v/>
      </c>
    </row>
    <row r="595" spans="7:7" x14ac:dyDescent="0.25">
      <c r="G595" s="20" t="str">
        <f t="shared" si="9"/>
        <v/>
      </c>
    </row>
    <row r="596" spans="7:7" x14ac:dyDescent="0.25">
      <c r="G596" s="20" t="str">
        <f t="shared" si="9"/>
        <v/>
      </c>
    </row>
    <row r="597" spans="7:7" x14ac:dyDescent="0.25">
      <c r="G597" s="20" t="str">
        <f t="shared" si="9"/>
        <v/>
      </c>
    </row>
    <row r="598" spans="7:7" x14ac:dyDescent="0.25">
      <c r="G598" s="20" t="str">
        <f t="shared" si="9"/>
        <v/>
      </c>
    </row>
    <row r="599" spans="7:7" x14ac:dyDescent="0.25">
      <c r="G599" s="20" t="str">
        <f t="shared" si="9"/>
        <v/>
      </c>
    </row>
    <row r="600" spans="7:7" x14ac:dyDescent="0.25">
      <c r="G600" s="20" t="str">
        <f t="shared" si="9"/>
        <v/>
      </c>
    </row>
    <row r="601" spans="7:7" x14ac:dyDescent="0.25">
      <c r="G601" s="20" t="str">
        <f t="shared" si="9"/>
        <v/>
      </c>
    </row>
    <row r="602" spans="7:7" x14ac:dyDescent="0.25">
      <c r="G602" s="20" t="str">
        <f t="shared" si="9"/>
        <v/>
      </c>
    </row>
    <row r="603" spans="7:7" x14ac:dyDescent="0.25">
      <c r="G603" s="20" t="str">
        <f t="shared" si="9"/>
        <v/>
      </c>
    </row>
    <row r="604" spans="7:7" x14ac:dyDescent="0.25">
      <c r="G604" s="20" t="str">
        <f t="shared" si="9"/>
        <v/>
      </c>
    </row>
    <row r="605" spans="7:7" x14ac:dyDescent="0.25">
      <c r="G605" s="20" t="str">
        <f t="shared" si="9"/>
        <v/>
      </c>
    </row>
    <row r="606" spans="7:7" x14ac:dyDescent="0.25">
      <c r="G606" s="20" t="str">
        <f t="shared" si="9"/>
        <v/>
      </c>
    </row>
    <row r="607" spans="7:7" x14ac:dyDescent="0.25">
      <c r="G607" s="20" t="str">
        <f t="shared" si="9"/>
        <v/>
      </c>
    </row>
    <row r="608" spans="7:7" x14ac:dyDescent="0.25">
      <c r="G608" s="20" t="str">
        <f t="shared" si="9"/>
        <v/>
      </c>
    </row>
    <row r="609" spans="7:7" x14ac:dyDescent="0.25">
      <c r="G609" s="20" t="str">
        <f t="shared" si="9"/>
        <v/>
      </c>
    </row>
    <row r="610" spans="7:7" x14ac:dyDescent="0.25">
      <c r="G610" s="20" t="str">
        <f t="shared" si="9"/>
        <v/>
      </c>
    </row>
    <row r="611" spans="7:7" x14ac:dyDescent="0.25">
      <c r="G611" s="20" t="str">
        <f t="shared" si="9"/>
        <v/>
      </c>
    </row>
    <row r="612" spans="7:7" x14ac:dyDescent="0.25">
      <c r="G612" s="20" t="str">
        <f t="shared" si="9"/>
        <v/>
      </c>
    </row>
    <row r="613" spans="7:7" x14ac:dyDescent="0.25">
      <c r="G613" s="20" t="str">
        <f t="shared" si="9"/>
        <v/>
      </c>
    </row>
    <row r="614" spans="7:7" x14ac:dyDescent="0.25">
      <c r="G614" s="20" t="str">
        <f t="shared" si="9"/>
        <v/>
      </c>
    </row>
    <row r="615" spans="7:7" x14ac:dyDescent="0.25">
      <c r="G615" s="20" t="str">
        <f t="shared" si="9"/>
        <v/>
      </c>
    </row>
    <row r="616" spans="7:7" x14ac:dyDescent="0.25">
      <c r="G616" s="20" t="str">
        <f t="shared" si="9"/>
        <v/>
      </c>
    </row>
    <row r="617" spans="7:7" x14ac:dyDescent="0.25">
      <c r="G617" s="20" t="str">
        <f t="shared" si="9"/>
        <v/>
      </c>
    </row>
    <row r="618" spans="7:7" x14ac:dyDescent="0.25">
      <c r="G618" s="20" t="str">
        <f t="shared" si="9"/>
        <v/>
      </c>
    </row>
    <row r="619" spans="7:7" x14ac:dyDescent="0.25">
      <c r="G619" s="20" t="str">
        <f t="shared" si="9"/>
        <v/>
      </c>
    </row>
    <row r="620" spans="7:7" x14ac:dyDescent="0.25">
      <c r="G620" s="20" t="str">
        <f t="shared" si="9"/>
        <v/>
      </c>
    </row>
    <row r="621" spans="7:7" x14ac:dyDescent="0.25">
      <c r="G621" s="20" t="str">
        <f t="shared" si="9"/>
        <v/>
      </c>
    </row>
    <row r="622" spans="7:7" x14ac:dyDescent="0.25">
      <c r="G622" s="20" t="str">
        <f t="shared" si="9"/>
        <v/>
      </c>
    </row>
    <row r="623" spans="7:7" x14ac:dyDescent="0.25">
      <c r="G623" s="20" t="str">
        <f t="shared" si="9"/>
        <v/>
      </c>
    </row>
    <row r="624" spans="7:7" x14ac:dyDescent="0.25">
      <c r="G624" s="20" t="str">
        <f t="shared" si="9"/>
        <v/>
      </c>
    </row>
    <row r="625" spans="7:7" x14ac:dyDescent="0.25">
      <c r="G625" s="20" t="str">
        <f t="shared" si="9"/>
        <v/>
      </c>
    </row>
    <row r="626" spans="7:7" x14ac:dyDescent="0.25">
      <c r="G626" s="20" t="str">
        <f t="shared" si="9"/>
        <v/>
      </c>
    </row>
    <row r="627" spans="7:7" x14ac:dyDescent="0.25">
      <c r="G627" s="20" t="str">
        <f t="shared" si="9"/>
        <v/>
      </c>
    </row>
    <row r="628" spans="7:7" x14ac:dyDescent="0.25">
      <c r="G628" s="20" t="str">
        <f t="shared" si="9"/>
        <v/>
      </c>
    </row>
    <row r="629" spans="7:7" x14ac:dyDescent="0.25">
      <c r="G629" s="20" t="str">
        <f t="shared" si="9"/>
        <v/>
      </c>
    </row>
    <row r="630" spans="7:7" x14ac:dyDescent="0.25">
      <c r="G630" s="20" t="str">
        <f t="shared" si="9"/>
        <v/>
      </c>
    </row>
    <row r="631" spans="7:7" x14ac:dyDescent="0.25">
      <c r="G631" s="20" t="str">
        <f t="shared" si="9"/>
        <v/>
      </c>
    </row>
    <row r="632" spans="7:7" x14ac:dyDescent="0.25">
      <c r="G632" s="20" t="str">
        <f t="shared" si="9"/>
        <v/>
      </c>
    </row>
    <row r="633" spans="7:7" x14ac:dyDescent="0.25">
      <c r="G633" s="20" t="str">
        <f t="shared" si="9"/>
        <v/>
      </c>
    </row>
    <row r="634" spans="7:7" x14ac:dyDescent="0.25">
      <c r="G634" s="20" t="str">
        <f t="shared" si="9"/>
        <v/>
      </c>
    </row>
    <row r="635" spans="7:7" x14ac:dyDescent="0.25">
      <c r="G635" s="20" t="str">
        <f t="shared" si="9"/>
        <v/>
      </c>
    </row>
    <row r="636" spans="7:7" x14ac:dyDescent="0.25">
      <c r="G636" s="20" t="str">
        <f t="shared" si="9"/>
        <v/>
      </c>
    </row>
    <row r="637" spans="7:7" x14ac:dyDescent="0.25">
      <c r="G637" s="20" t="str">
        <f t="shared" si="9"/>
        <v/>
      </c>
    </row>
    <row r="638" spans="7:7" x14ac:dyDescent="0.25">
      <c r="G638" s="20" t="str">
        <f t="shared" si="9"/>
        <v/>
      </c>
    </row>
    <row r="639" spans="7:7" x14ac:dyDescent="0.25">
      <c r="G639" s="20" t="str">
        <f t="shared" si="9"/>
        <v/>
      </c>
    </row>
    <row r="640" spans="7:7" x14ac:dyDescent="0.25">
      <c r="G640" s="20" t="str">
        <f t="shared" si="9"/>
        <v/>
      </c>
    </row>
    <row r="641" spans="7:7" x14ac:dyDescent="0.25">
      <c r="G641" s="20" t="str">
        <f t="shared" si="9"/>
        <v/>
      </c>
    </row>
    <row r="642" spans="7:7" x14ac:dyDescent="0.25">
      <c r="G642" s="20" t="str">
        <f t="shared" si="9"/>
        <v/>
      </c>
    </row>
    <row r="643" spans="7:7" x14ac:dyDescent="0.25">
      <c r="G643" s="20" t="str">
        <f t="shared" ref="G643:G706" si="10">IF(F643&lt;&gt;"",E643*F643,"")</f>
        <v/>
      </c>
    </row>
    <row r="644" spans="7:7" x14ac:dyDescent="0.25">
      <c r="G644" s="20" t="str">
        <f t="shared" si="10"/>
        <v/>
      </c>
    </row>
    <row r="645" spans="7:7" x14ac:dyDescent="0.25">
      <c r="G645" s="20" t="str">
        <f t="shared" si="10"/>
        <v/>
      </c>
    </row>
    <row r="646" spans="7:7" x14ac:dyDescent="0.25">
      <c r="G646" s="20" t="str">
        <f t="shared" si="10"/>
        <v/>
      </c>
    </row>
    <row r="647" spans="7:7" x14ac:dyDescent="0.25">
      <c r="G647" s="20" t="str">
        <f t="shared" si="10"/>
        <v/>
      </c>
    </row>
    <row r="648" spans="7:7" x14ac:dyDescent="0.25">
      <c r="G648" s="20" t="str">
        <f t="shared" si="10"/>
        <v/>
      </c>
    </row>
    <row r="649" spans="7:7" x14ac:dyDescent="0.25">
      <c r="G649" s="20" t="str">
        <f t="shared" si="10"/>
        <v/>
      </c>
    </row>
    <row r="650" spans="7:7" x14ac:dyDescent="0.25">
      <c r="G650" s="20" t="str">
        <f t="shared" si="10"/>
        <v/>
      </c>
    </row>
    <row r="651" spans="7:7" x14ac:dyDescent="0.25">
      <c r="G651" s="20" t="str">
        <f t="shared" si="10"/>
        <v/>
      </c>
    </row>
    <row r="652" spans="7:7" x14ac:dyDescent="0.25">
      <c r="G652" s="20" t="str">
        <f t="shared" si="10"/>
        <v/>
      </c>
    </row>
    <row r="653" spans="7:7" x14ac:dyDescent="0.25">
      <c r="G653" s="20" t="str">
        <f t="shared" si="10"/>
        <v/>
      </c>
    </row>
    <row r="654" spans="7:7" x14ac:dyDescent="0.25">
      <c r="G654" s="20" t="str">
        <f t="shared" si="10"/>
        <v/>
      </c>
    </row>
    <row r="655" spans="7:7" x14ac:dyDescent="0.25">
      <c r="G655" s="20" t="str">
        <f t="shared" si="10"/>
        <v/>
      </c>
    </row>
    <row r="656" spans="7:7" x14ac:dyDescent="0.25">
      <c r="G656" s="20" t="str">
        <f t="shared" si="10"/>
        <v/>
      </c>
    </row>
    <row r="657" spans="7:7" x14ac:dyDescent="0.25">
      <c r="G657" s="20" t="str">
        <f t="shared" si="10"/>
        <v/>
      </c>
    </row>
    <row r="658" spans="7:7" x14ac:dyDescent="0.25">
      <c r="G658" s="20" t="str">
        <f t="shared" si="10"/>
        <v/>
      </c>
    </row>
    <row r="659" spans="7:7" x14ac:dyDescent="0.25">
      <c r="G659" s="20" t="str">
        <f t="shared" si="10"/>
        <v/>
      </c>
    </row>
    <row r="660" spans="7:7" x14ac:dyDescent="0.25">
      <c r="G660" s="20" t="str">
        <f t="shared" si="10"/>
        <v/>
      </c>
    </row>
    <row r="661" spans="7:7" x14ac:dyDescent="0.25">
      <c r="G661" s="20" t="str">
        <f t="shared" si="10"/>
        <v/>
      </c>
    </row>
    <row r="662" spans="7:7" x14ac:dyDescent="0.25">
      <c r="G662" s="20" t="str">
        <f t="shared" si="10"/>
        <v/>
      </c>
    </row>
    <row r="663" spans="7:7" x14ac:dyDescent="0.25">
      <c r="G663" s="20" t="str">
        <f t="shared" si="10"/>
        <v/>
      </c>
    </row>
    <row r="664" spans="7:7" x14ac:dyDescent="0.25">
      <c r="G664" s="20" t="str">
        <f t="shared" si="10"/>
        <v/>
      </c>
    </row>
    <row r="665" spans="7:7" x14ac:dyDescent="0.25">
      <c r="G665" s="20" t="str">
        <f t="shared" si="10"/>
        <v/>
      </c>
    </row>
    <row r="666" spans="7:7" x14ac:dyDescent="0.25">
      <c r="G666" s="20" t="str">
        <f t="shared" si="10"/>
        <v/>
      </c>
    </row>
    <row r="667" spans="7:7" x14ac:dyDescent="0.25">
      <c r="G667" s="20" t="str">
        <f t="shared" si="10"/>
        <v/>
      </c>
    </row>
    <row r="668" spans="7:7" x14ac:dyDescent="0.25">
      <c r="G668" s="20" t="str">
        <f t="shared" si="10"/>
        <v/>
      </c>
    </row>
    <row r="669" spans="7:7" x14ac:dyDescent="0.25">
      <c r="G669" s="20" t="str">
        <f t="shared" si="10"/>
        <v/>
      </c>
    </row>
    <row r="670" spans="7:7" x14ac:dyDescent="0.25">
      <c r="G670" s="20" t="str">
        <f t="shared" si="10"/>
        <v/>
      </c>
    </row>
    <row r="671" spans="7:7" x14ac:dyDescent="0.25">
      <c r="G671" s="20" t="str">
        <f t="shared" si="10"/>
        <v/>
      </c>
    </row>
    <row r="672" spans="7:7" x14ac:dyDescent="0.25">
      <c r="G672" s="20" t="str">
        <f t="shared" si="10"/>
        <v/>
      </c>
    </row>
    <row r="673" spans="7:7" x14ac:dyDescent="0.25">
      <c r="G673" s="20" t="str">
        <f t="shared" si="10"/>
        <v/>
      </c>
    </row>
    <row r="674" spans="7:7" x14ac:dyDescent="0.25">
      <c r="G674" s="20" t="str">
        <f t="shared" si="10"/>
        <v/>
      </c>
    </row>
    <row r="675" spans="7:7" x14ac:dyDescent="0.25">
      <c r="G675" s="20" t="str">
        <f t="shared" si="10"/>
        <v/>
      </c>
    </row>
    <row r="676" spans="7:7" x14ac:dyDescent="0.25">
      <c r="G676" s="20" t="str">
        <f t="shared" si="10"/>
        <v/>
      </c>
    </row>
    <row r="677" spans="7:7" x14ac:dyDescent="0.25">
      <c r="G677" s="20" t="str">
        <f t="shared" si="10"/>
        <v/>
      </c>
    </row>
    <row r="678" spans="7:7" x14ac:dyDescent="0.25">
      <c r="G678" s="20" t="str">
        <f t="shared" si="10"/>
        <v/>
      </c>
    </row>
    <row r="679" spans="7:7" x14ac:dyDescent="0.25">
      <c r="G679" s="20" t="str">
        <f t="shared" si="10"/>
        <v/>
      </c>
    </row>
    <row r="680" spans="7:7" x14ac:dyDescent="0.25">
      <c r="G680" s="20" t="str">
        <f t="shared" si="10"/>
        <v/>
      </c>
    </row>
    <row r="681" spans="7:7" x14ac:dyDescent="0.25">
      <c r="G681" s="20" t="str">
        <f t="shared" si="10"/>
        <v/>
      </c>
    </row>
    <row r="682" spans="7:7" x14ac:dyDescent="0.25">
      <c r="G682" s="20" t="str">
        <f t="shared" si="10"/>
        <v/>
      </c>
    </row>
    <row r="683" spans="7:7" x14ac:dyDescent="0.25">
      <c r="G683" s="20" t="str">
        <f t="shared" si="10"/>
        <v/>
      </c>
    </row>
    <row r="684" spans="7:7" x14ac:dyDescent="0.25">
      <c r="G684" s="20" t="str">
        <f t="shared" si="10"/>
        <v/>
      </c>
    </row>
    <row r="685" spans="7:7" x14ac:dyDescent="0.25">
      <c r="G685" s="20" t="str">
        <f t="shared" si="10"/>
        <v/>
      </c>
    </row>
    <row r="686" spans="7:7" x14ac:dyDescent="0.25">
      <c r="G686" s="20" t="str">
        <f t="shared" si="10"/>
        <v/>
      </c>
    </row>
    <row r="687" spans="7:7" x14ac:dyDescent="0.25">
      <c r="G687" s="20" t="str">
        <f t="shared" si="10"/>
        <v/>
      </c>
    </row>
    <row r="688" spans="7:7" x14ac:dyDescent="0.25">
      <c r="G688" s="20" t="str">
        <f t="shared" si="10"/>
        <v/>
      </c>
    </row>
    <row r="689" spans="7:7" x14ac:dyDescent="0.25">
      <c r="G689" s="20" t="str">
        <f t="shared" si="10"/>
        <v/>
      </c>
    </row>
    <row r="690" spans="7:7" x14ac:dyDescent="0.25">
      <c r="G690" s="20" t="str">
        <f t="shared" si="10"/>
        <v/>
      </c>
    </row>
    <row r="691" spans="7:7" x14ac:dyDescent="0.25">
      <c r="G691" s="20" t="str">
        <f t="shared" si="10"/>
        <v/>
      </c>
    </row>
    <row r="692" spans="7:7" x14ac:dyDescent="0.25">
      <c r="G692" s="20" t="str">
        <f t="shared" si="10"/>
        <v/>
      </c>
    </row>
    <row r="693" spans="7:7" x14ac:dyDescent="0.25">
      <c r="G693" s="20" t="str">
        <f t="shared" si="10"/>
        <v/>
      </c>
    </row>
    <row r="694" spans="7:7" x14ac:dyDescent="0.25">
      <c r="G694" s="20" t="str">
        <f t="shared" si="10"/>
        <v/>
      </c>
    </row>
    <row r="695" spans="7:7" x14ac:dyDescent="0.25">
      <c r="G695" s="20" t="str">
        <f t="shared" si="10"/>
        <v/>
      </c>
    </row>
    <row r="696" spans="7:7" x14ac:dyDescent="0.25">
      <c r="G696" s="20" t="str">
        <f t="shared" si="10"/>
        <v/>
      </c>
    </row>
    <row r="697" spans="7:7" x14ac:dyDescent="0.25">
      <c r="G697" s="20" t="str">
        <f t="shared" si="10"/>
        <v/>
      </c>
    </row>
    <row r="698" spans="7:7" x14ac:dyDescent="0.25">
      <c r="G698" s="20" t="str">
        <f t="shared" si="10"/>
        <v/>
      </c>
    </row>
    <row r="699" spans="7:7" x14ac:dyDescent="0.25">
      <c r="G699" s="20" t="str">
        <f t="shared" si="10"/>
        <v/>
      </c>
    </row>
    <row r="700" spans="7:7" x14ac:dyDescent="0.25">
      <c r="G700" s="20" t="str">
        <f t="shared" si="10"/>
        <v/>
      </c>
    </row>
    <row r="701" spans="7:7" x14ac:dyDescent="0.25">
      <c r="G701" s="20" t="str">
        <f t="shared" si="10"/>
        <v/>
      </c>
    </row>
    <row r="702" spans="7:7" x14ac:dyDescent="0.25">
      <c r="G702" s="20" t="str">
        <f t="shared" si="10"/>
        <v/>
      </c>
    </row>
    <row r="703" spans="7:7" x14ac:dyDescent="0.25">
      <c r="G703" s="20" t="str">
        <f t="shared" si="10"/>
        <v/>
      </c>
    </row>
    <row r="704" spans="7:7" x14ac:dyDescent="0.25">
      <c r="G704" s="20" t="str">
        <f t="shared" si="10"/>
        <v/>
      </c>
    </row>
    <row r="705" spans="7:7" x14ac:dyDescent="0.25">
      <c r="G705" s="20" t="str">
        <f t="shared" si="10"/>
        <v/>
      </c>
    </row>
    <row r="706" spans="7:7" x14ac:dyDescent="0.25">
      <c r="G706" s="20" t="str">
        <f t="shared" si="10"/>
        <v/>
      </c>
    </row>
    <row r="707" spans="7:7" x14ac:dyDescent="0.25">
      <c r="G707" s="20" t="str">
        <f t="shared" ref="G707:G724" si="11">IF(F707&lt;&gt;"",E707*F707,"")</f>
        <v/>
      </c>
    </row>
    <row r="708" spans="7:7" x14ac:dyDescent="0.25">
      <c r="G708" s="20" t="str">
        <f t="shared" si="11"/>
        <v/>
      </c>
    </row>
    <row r="709" spans="7:7" x14ac:dyDescent="0.25">
      <c r="G709" s="20" t="str">
        <f t="shared" si="11"/>
        <v/>
      </c>
    </row>
    <row r="710" spans="7:7" x14ac:dyDescent="0.25">
      <c r="G710" s="20" t="str">
        <f t="shared" si="11"/>
        <v/>
      </c>
    </row>
    <row r="711" spans="7:7" x14ac:dyDescent="0.25">
      <c r="G711" s="20" t="str">
        <f t="shared" si="11"/>
        <v/>
      </c>
    </row>
    <row r="712" spans="7:7" x14ac:dyDescent="0.25">
      <c r="G712" s="20" t="str">
        <f t="shared" si="11"/>
        <v/>
      </c>
    </row>
    <row r="713" spans="7:7" x14ac:dyDescent="0.25">
      <c r="G713" s="20" t="str">
        <f t="shared" si="11"/>
        <v/>
      </c>
    </row>
    <row r="714" spans="7:7" x14ac:dyDescent="0.25">
      <c r="G714" s="20" t="str">
        <f t="shared" si="11"/>
        <v/>
      </c>
    </row>
    <row r="715" spans="7:7" x14ac:dyDescent="0.25">
      <c r="G715" s="20" t="str">
        <f t="shared" si="11"/>
        <v/>
      </c>
    </row>
    <row r="716" spans="7:7" x14ac:dyDescent="0.25">
      <c r="G716" s="20" t="str">
        <f t="shared" si="11"/>
        <v/>
      </c>
    </row>
    <row r="717" spans="7:7" x14ac:dyDescent="0.25">
      <c r="G717" s="20" t="str">
        <f t="shared" si="11"/>
        <v/>
      </c>
    </row>
    <row r="718" spans="7:7" x14ac:dyDescent="0.25">
      <c r="G718" s="20" t="str">
        <f t="shared" si="11"/>
        <v/>
      </c>
    </row>
    <row r="719" spans="7:7" x14ac:dyDescent="0.25">
      <c r="G719" s="20" t="str">
        <f t="shared" si="11"/>
        <v/>
      </c>
    </row>
    <row r="720" spans="7:7" x14ac:dyDescent="0.25">
      <c r="G720" s="20" t="str">
        <f t="shared" si="11"/>
        <v/>
      </c>
    </row>
    <row r="721" spans="7:7" x14ac:dyDescent="0.25">
      <c r="G721" s="20" t="str">
        <f t="shared" si="11"/>
        <v/>
      </c>
    </row>
    <row r="722" spans="7:7" x14ac:dyDescent="0.25">
      <c r="G722" s="20" t="str">
        <f t="shared" si="11"/>
        <v/>
      </c>
    </row>
    <row r="723" spans="7:7" x14ac:dyDescent="0.25">
      <c r="G723" s="20" t="str">
        <f t="shared" si="11"/>
        <v/>
      </c>
    </row>
    <row r="724" spans="7:7" x14ac:dyDescent="0.25">
      <c r="G724" s="20" t="str">
        <f t="shared" si="11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Back_to_main">
                <anchor moveWithCells="1" sizeWithCells="1">
                  <from>
                    <xdr:col>1</xdr:col>
                    <xdr:colOff>161925</xdr:colOff>
                    <xdr:row>0</xdr:row>
                    <xdr:rowOff>66675</xdr:rowOff>
                  </from>
                  <to>
                    <xdr:col>2</xdr:col>
                    <xdr:colOff>352425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5"/>
  <sheetViews>
    <sheetView workbookViewId="0">
      <selection activeCell="D13" sqref="D13"/>
    </sheetView>
  </sheetViews>
  <sheetFormatPr defaultRowHeight="15" x14ac:dyDescent="0.25"/>
  <cols>
    <col min="1" max="1" width="16.28515625" customWidth="1"/>
    <col min="2" max="2" width="20" customWidth="1"/>
    <col min="3" max="3" width="18.28515625" customWidth="1"/>
    <col min="4" max="4" width="11.140625" customWidth="1"/>
    <col min="5" max="5" width="19.140625" style="20" customWidth="1"/>
    <col min="6" max="6" width="19.28515625" style="20" customWidth="1"/>
    <col min="7" max="7" width="15.140625" style="20" customWidth="1"/>
    <col min="8" max="8" width="20.5703125" style="20" customWidth="1"/>
    <col min="9" max="9" width="23" customWidth="1"/>
    <col min="10" max="10" width="16" style="20" customWidth="1"/>
  </cols>
  <sheetData>
    <row r="1" spans="1:10" ht="48" customHeight="1" thickBot="1" x14ac:dyDescent="0.3">
      <c r="A1" t="s">
        <v>113</v>
      </c>
    </row>
    <row r="2" spans="1:10" s="1" customFormat="1" x14ac:dyDescent="0.25">
      <c r="A2" s="1" t="s">
        <v>114</v>
      </c>
      <c r="B2" s="1" t="s">
        <v>105</v>
      </c>
      <c r="C2" s="1" t="s">
        <v>115</v>
      </c>
      <c r="D2" s="1" t="s">
        <v>5</v>
      </c>
      <c r="E2" s="21" t="s">
        <v>116</v>
      </c>
      <c r="F2" s="21" t="s">
        <v>119</v>
      </c>
      <c r="G2" s="21" t="s">
        <v>120</v>
      </c>
      <c r="H2" s="21" t="s">
        <v>126</v>
      </c>
      <c r="I2" s="16" t="s">
        <v>117</v>
      </c>
      <c r="J2" s="22">
        <f>SUM(F:F)</f>
        <v>0</v>
      </c>
    </row>
    <row r="3" spans="1:10" ht="15.75" thickBot="1" x14ac:dyDescent="0.3">
      <c r="B3" s="15"/>
      <c r="I3" s="7" t="s">
        <v>121</v>
      </c>
      <c r="J3" s="23">
        <f>SUM(G:G)+SUM(H:H)</f>
        <v>0</v>
      </c>
    </row>
    <row r="4" spans="1:10" x14ac:dyDescent="0.25">
      <c r="B4" s="15"/>
    </row>
    <row r="5" spans="1:10" x14ac:dyDescent="0.25">
      <c r="B5" s="1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ack_to_main">
                <anchor moveWithCells="1" sizeWithCells="1">
                  <from>
                    <xdr:col>1</xdr:col>
                    <xdr:colOff>123825</xdr:colOff>
                    <xdr:row>0</xdr:row>
                    <xdr:rowOff>76200</xdr:rowOff>
                  </from>
                  <to>
                    <xdr:col>2</xdr:col>
                    <xdr:colOff>314325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562"/>
  <sheetViews>
    <sheetView workbookViewId="0">
      <selection activeCell="I11" sqref="I11"/>
    </sheetView>
  </sheetViews>
  <sheetFormatPr defaultRowHeight="15" x14ac:dyDescent="0.25"/>
  <cols>
    <col min="1" max="1" width="19.28515625" customWidth="1"/>
    <col min="2" max="2" width="18.42578125" customWidth="1"/>
    <col min="3" max="3" width="12.7109375" customWidth="1"/>
    <col min="5" max="5" width="13.140625" style="20" customWidth="1"/>
    <col min="6" max="6" width="9.140625" style="20"/>
    <col min="8" max="8" width="25.5703125" customWidth="1"/>
    <col min="9" max="9" width="12.5703125" style="20" customWidth="1"/>
  </cols>
  <sheetData>
    <row r="1" spans="1:9" ht="39.75" customHeight="1" thickBot="1" x14ac:dyDescent="0.3">
      <c r="A1" t="s">
        <v>109</v>
      </c>
    </row>
    <row r="2" spans="1:9" s="1" customFormat="1" x14ac:dyDescent="0.25">
      <c r="A2" s="1" t="s">
        <v>110</v>
      </c>
      <c r="B2" s="1" t="s">
        <v>111</v>
      </c>
      <c r="C2" s="1" t="s">
        <v>112</v>
      </c>
      <c r="D2" s="1" t="s">
        <v>24</v>
      </c>
      <c r="E2" s="21" t="s">
        <v>122</v>
      </c>
      <c r="F2" s="21" t="s">
        <v>118</v>
      </c>
      <c r="H2" s="19" t="s">
        <v>123</v>
      </c>
      <c r="I2" s="24">
        <f>SUM(F:F)</f>
        <v>15710</v>
      </c>
    </row>
    <row r="3" spans="1:9" ht="15.75" thickBot="1" x14ac:dyDescent="0.3">
      <c r="A3">
        <v>1</v>
      </c>
      <c r="B3" s="15">
        <v>42471.02847222222</v>
      </c>
      <c r="C3" t="s">
        <v>86</v>
      </c>
      <c r="D3">
        <v>10</v>
      </c>
      <c r="E3" s="20">
        <v>4</v>
      </c>
      <c r="F3" s="20">
        <f t="shared" ref="F3:F65" si="0">IF(D3&lt;&gt;"",D3*E3,"")</f>
        <v>40</v>
      </c>
      <c r="H3" s="7" t="s">
        <v>29</v>
      </c>
      <c r="I3" s="23">
        <f>0.52*SUM(D:D)</f>
        <v>2033.2</v>
      </c>
    </row>
    <row r="4" spans="1:9" x14ac:dyDescent="0.25">
      <c r="A4">
        <v>2</v>
      </c>
      <c r="B4" s="15">
        <v>42471.02857638889</v>
      </c>
      <c r="C4" t="s">
        <v>81</v>
      </c>
      <c r="D4">
        <v>10</v>
      </c>
      <c r="E4" s="20">
        <v>3</v>
      </c>
      <c r="F4" s="20">
        <f t="shared" si="0"/>
        <v>30</v>
      </c>
    </row>
    <row r="5" spans="1:9" x14ac:dyDescent="0.25">
      <c r="A5">
        <v>3</v>
      </c>
      <c r="B5" s="15">
        <v>42471.028819444444</v>
      </c>
      <c r="C5" t="s">
        <v>78</v>
      </c>
      <c r="D5">
        <v>10</v>
      </c>
      <c r="E5" s="20">
        <v>5</v>
      </c>
      <c r="F5" s="20">
        <f t="shared" si="0"/>
        <v>50</v>
      </c>
    </row>
    <row r="6" spans="1:9" x14ac:dyDescent="0.25">
      <c r="A6">
        <v>4</v>
      </c>
      <c r="B6" s="15">
        <v>42471.029247685183</v>
      </c>
      <c r="C6" t="s">
        <v>66</v>
      </c>
      <c r="D6">
        <v>10</v>
      </c>
      <c r="E6" s="20">
        <v>3</v>
      </c>
      <c r="F6" s="20">
        <f t="shared" si="0"/>
        <v>30</v>
      </c>
    </row>
    <row r="7" spans="1:9" x14ac:dyDescent="0.25">
      <c r="A7">
        <v>5</v>
      </c>
      <c r="B7" s="15">
        <v>42471.029953703706</v>
      </c>
      <c r="C7" t="s">
        <v>101</v>
      </c>
      <c r="D7">
        <v>10</v>
      </c>
      <c r="E7" s="20">
        <v>4</v>
      </c>
      <c r="F7" s="20">
        <f t="shared" si="0"/>
        <v>40</v>
      </c>
    </row>
    <row r="8" spans="1:9" x14ac:dyDescent="0.25">
      <c r="A8">
        <v>6</v>
      </c>
      <c r="B8" s="15">
        <v>42471.030868055554</v>
      </c>
      <c r="C8" t="s">
        <v>81</v>
      </c>
      <c r="D8">
        <v>10</v>
      </c>
      <c r="E8" s="20">
        <v>3</v>
      </c>
      <c r="F8" s="20">
        <f t="shared" si="0"/>
        <v>30</v>
      </c>
    </row>
    <row r="9" spans="1:9" x14ac:dyDescent="0.25">
      <c r="A9">
        <v>7</v>
      </c>
      <c r="B9" s="15">
        <v>42471.032141203701</v>
      </c>
      <c r="C9" t="s">
        <v>78</v>
      </c>
      <c r="D9">
        <v>10</v>
      </c>
      <c r="E9" s="20">
        <v>5</v>
      </c>
      <c r="F9" s="20">
        <f t="shared" si="0"/>
        <v>50</v>
      </c>
    </row>
    <row r="10" spans="1:9" x14ac:dyDescent="0.25">
      <c r="A10">
        <v>8</v>
      </c>
      <c r="B10" s="15">
        <v>42471.034050925926</v>
      </c>
      <c r="C10" t="s">
        <v>81</v>
      </c>
      <c r="D10">
        <v>10</v>
      </c>
      <c r="E10" s="20">
        <v>3</v>
      </c>
      <c r="F10" s="20">
        <f t="shared" si="0"/>
        <v>30</v>
      </c>
    </row>
    <row r="11" spans="1:9" x14ac:dyDescent="0.25">
      <c r="A11">
        <v>9</v>
      </c>
      <c r="B11" s="15">
        <v>42471.034189814818</v>
      </c>
      <c r="C11" t="s">
        <v>66</v>
      </c>
      <c r="D11">
        <v>10</v>
      </c>
      <c r="E11" s="20">
        <v>3</v>
      </c>
      <c r="F11" s="20">
        <f t="shared" si="0"/>
        <v>30</v>
      </c>
    </row>
    <row r="12" spans="1:9" x14ac:dyDescent="0.25">
      <c r="A12">
        <v>10</v>
      </c>
      <c r="B12" s="15">
        <v>42471.034594907411</v>
      </c>
      <c r="C12" t="s">
        <v>81</v>
      </c>
      <c r="D12">
        <v>10</v>
      </c>
      <c r="E12" s="20">
        <v>3</v>
      </c>
      <c r="F12" s="20">
        <f t="shared" si="0"/>
        <v>30</v>
      </c>
    </row>
    <row r="13" spans="1:9" x14ac:dyDescent="0.25">
      <c r="A13">
        <v>11</v>
      </c>
      <c r="B13" s="15">
        <v>42477.80541666667</v>
      </c>
      <c r="C13" t="s">
        <v>86</v>
      </c>
      <c r="D13">
        <v>1300</v>
      </c>
      <c r="E13" s="20">
        <v>4</v>
      </c>
      <c r="F13" s="20">
        <f t="shared" si="0"/>
        <v>5200</v>
      </c>
    </row>
    <row r="14" spans="1:9" x14ac:dyDescent="0.25">
      <c r="A14">
        <v>12</v>
      </c>
      <c r="B14" s="15">
        <v>42477.806400462963</v>
      </c>
      <c r="C14" t="s">
        <v>81</v>
      </c>
      <c r="D14">
        <v>1200</v>
      </c>
      <c r="E14" s="20">
        <v>3</v>
      </c>
      <c r="F14" s="20">
        <f t="shared" si="0"/>
        <v>3600</v>
      </c>
    </row>
    <row r="15" spans="1:9" x14ac:dyDescent="0.25">
      <c r="A15">
        <v>13</v>
      </c>
      <c r="B15" s="15">
        <v>42477.806898148148</v>
      </c>
      <c r="C15" t="s">
        <v>78</v>
      </c>
      <c r="D15">
        <v>1300</v>
      </c>
      <c r="E15" s="20">
        <v>5</v>
      </c>
      <c r="F15" s="20">
        <f t="shared" si="0"/>
        <v>6500</v>
      </c>
    </row>
    <row r="16" spans="1:9" x14ac:dyDescent="0.25">
      <c r="A16">
        <v>14</v>
      </c>
      <c r="B16" s="15">
        <v>42477.809907407405</v>
      </c>
      <c r="C16" t="s">
        <v>78</v>
      </c>
      <c r="D16">
        <v>10</v>
      </c>
      <c r="E16" s="20">
        <v>5</v>
      </c>
      <c r="F16" s="20">
        <f t="shared" si="0"/>
        <v>50</v>
      </c>
    </row>
    <row r="17" spans="6:6" x14ac:dyDescent="0.25">
      <c r="F17" s="20" t="str">
        <f t="shared" si="0"/>
        <v/>
      </c>
    </row>
    <row r="18" spans="6:6" x14ac:dyDescent="0.25">
      <c r="F18" s="20" t="str">
        <f t="shared" si="0"/>
        <v/>
      </c>
    </row>
    <row r="19" spans="6:6" x14ac:dyDescent="0.25">
      <c r="F19" s="20" t="str">
        <f t="shared" si="0"/>
        <v/>
      </c>
    </row>
    <row r="20" spans="6:6" x14ac:dyDescent="0.25">
      <c r="F20" s="20" t="str">
        <f t="shared" si="0"/>
        <v/>
      </c>
    </row>
    <row r="21" spans="6:6" x14ac:dyDescent="0.25">
      <c r="F21" s="20" t="str">
        <f t="shared" si="0"/>
        <v/>
      </c>
    </row>
    <row r="22" spans="6:6" x14ac:dyDescent="0.25">
      <c r="F22" s="20" t="str">
        <f t="shared" si="0"/>
        <v/>
      </c>
    </row>
    <row r="23" spans="6:6" x14ac:dyDescent="0.25">
      <c r="F23" s="20" t="str">
        <f t="shared" si="0"/>
        <v/>
      </c>
    </row>
    <row r="24" spans="6:6" x14ac:dyDescent="0.25">
      <c r="F24" s="20" t="str">
        <f t="shared" si="0"/>
        <v/>
      </c>
    </row>
    <row r="25" spans="6:6" x14ac:dyDescent="0.25">
      <c r="F25" s="20" t="str">
        <f t="shared" si="0"/>
        <v/>
      </c>
    </row>
    <row r="26" spans="6:6" x14ac:dyDescent="0.25">
      <c r="F26" s="20" t="str">
        <f t="shared" si="0"/>
        <v/>
      </c>
    </row>
    <row r="27" spans="6:6" x14ac:dyDescent="0.25">
      <c r="F27" s="20" t="str">
        <f t="shared" si="0"/>
        <v/>
      </c>
    </row>
    <row r="28" spans="6:6" x14ac:dyDescent="0.25">
      <c r="F28" s="20" t="str">
        <f t="shared" si="0"/>
        <v/>
      </c>
    </row>
    <row r="29" spans="6:6" x14ac:dyDescent="0.25">
      <c r="F29" s="20" t="str">
        <f t="shared" si="0"/>
        <v/>
      </c>
    </row>
    <row r="30" spans="6:6" x14ac:dyDescent="0.25">
      <c r="F30" s="20" t="str">
        <f t="shared" si="0"/>
        <v/>
      </c>
    </row>
    <row r="31" spans="6:6" x14ac:dyDescent="0.25">
      <c r="F31" s="20" t="str">
        <f t="shared" si="0"/>
        <v/>
      </c>
    </row>
    <row r="32" spans="6:6" x14ac:dyDescent="0.25">
      <c r="F32" s="20" t="str">
        <f t="shared" si="0"/>
        <v/>
      </c>
    </row>
    <row r="33" spans="6:6" x14ac:dyDescent="0.25">
      <c r="F33" s="20" t="str">
        <f t="shared" si="0"/>
        <v/>
      </c>
    </row>
    <row r="34" spans="6:6" x14ac:dyDescent="0.25">
      <c r="F34" s="20" t="str">
        <f t="shared" si="0"/>
        <v/>
      </c>
    </row>
    <row r="35" spans="6:6" x14ac:dyDescent="0.25">
      <c r="F35" s="20" t="str">
        <f t="shared" si="0"/>
        <v/>
      </c>
    </row>
    <row r="36" spans="6:6" x14ac:dyDescent="0.25">
      <c r="F36" s="20" t="str">
        <f t="shared" si="0"/>
        <v/>
      </c>
    </row>
    <row r="37" spans="6:6" x14ac:dyDescent="0.25">
      <c r="F37" s="20" t="str">
        <f t="shared" si="0"/>
        <v/>
      </c>
    </row>
    <row r="38" spans="6:6" x14ac:dyDescent="0.25">
      <c r="F38" s="20" t="str">
        <f t="shared" si="0"/>
        <v/>
      </c>
    </row>
    <row r="39" spans="6:6" x14ac:dyDescent="0.25">
      <c r="F39" s="20" t="str">
        <f t="shared" si="0"/>
        <v/>
      </c>
    </row>
    <row r="40" spans="6:6" x14ac:dyDescent="0.25">
      <c r="F40" s="20" t="str">
        <f t="shared" si="0"/>
        <v/>
      </c>
    </row>
    <row r="41" spans="6:6" x14ac:dyDescent="0.25">
      <c r="F41" s="20" t="str">
        <f t="shared" si="0"/>
        <v/>
      </c>
    </row>
    <row r="42" spans="6:6" x14ac:dyDescent="0.25">
      <c r="F42" s="20" t="str">
        <f t="shared" si="0"/>
        <v/>
      </c>
    </row>
    <row r="43" spans="6:6" x14ac:dyDescent="0.25">
      <c r="F43" s="20" t="str">
        <f t="shared" si="0"/>
        <v/>
      </c>
    </row>
    <row r="44" spans="6:6" x14ac:dyDescent="0.25">
      <c r="F44" s="20" t="str">
        <f t="shared" si="0"/>
        <v/>
      </c>
    </row>
    <row r="45" spans="6:6" x14ac:dyDescent="0.25">
      <c r="F45" s="20" t="str">
        <f t="shared" si="0"/>
        <v/>
      </c>
    </row>
    <row r="46" spans="6:6" x14ac:dyDescent="0.25">
      <c r="F46" s="20" t="str">
        <f t="shared" si="0"/>
        <v/>
      </c>
    </row>
    <row r="47" spans="6:6" x14ac:dyDescent="0.25">
      <c r="F47" s="20" t="str">
        <f t="shared" si="0"/>
        <v/>
      </c>
    </row>
    <row r="48" spans="6:6" x14ac:dyDescent="0.25">
      <c r="F48" s="20" t="str">
        <f t="shared" si="0"/>
        <v/>
      </c>
    </row>
    <row r="49" spans="6:6" x14ac:dyDescent="0.25">
      <c r="F49" s="20" t="str">
        <f t="shared" si="0"/>
        <v/>
      </c>
    </row>
    <row r="50" spans="6:6" x14ac:dyDescent="0.25">
      <c r="F50" s="20" t="str">
        <f t="shared" si="0"/>
        <v/>
      </c>
    </row>
    <row r="51" spans="6:6" x14ac:dyDescent="0.25">
      <c r="F51" s="20" t="str">
        <f t="shared" si="0"/>
        <v/>
      </c>
    </row>
    <row r="52" spans="6:6" x14ac:dyDescent="0.25">
      <c r="F52" s="20" t="str">
        <f t="shared" si="0"/>
        <v/>
      </c>
    </row>
    <row r="53" spans="6:6" x14ac:dyDescent="0.25">
      <c r="F53" s="20" t="str">
        <f t="shared" si="0"/>
        <v/>
      </c>
    </row>
    <row r="54" spans="6:6" x14ac:dyDescent="0.25">
      <c r="F54" s="20" t="str">
        <f t="shared" si="0"/>
        <v/>
      </c>
    </row>
    <row r="55" spans="6:6" x14ac:dyDescent="0.25">
      <c r="F55" s="20" t="str">
        <f t="shared" si="0"/>
        <v/>
      </c>
    </row>
    <row r="56" spans="6:6" x14ac:dyDescent="0.25">
      <c r="F56" s="20" t="str">
        <f t="shared" si="0"/>
        <v/>
      </c>
    </row>
    <row r="57" spans="6:6" x14ac:dyDescent="0.25">
      <c r="F57" s="20" t="str">
        <f t="shared" si="0"/>
        <v/>
      </c>
    </row>
    <row r="58" spans="6:6" x14ac:dyDescent="0.25">
      <c r="F58" s="20" t="str">
        <f t="shared" si="0"/>
        <v/>
      </c>
    </row>
    <row r="59" spans="6:6" x14ac:dyDescent="0.25">
      <c r="F59" s="20" t="str">
        <f t="shared" si="0"/>
        <v/>
      </c>
    </row>
    <row r="60" spans="6:6" x14ac:dyDescent="0.25">
      <c r="F60" s="20" t="str">
        <f t="shared" si="0"/>
        <v/>
      </c>
    </row>
    <row r="61" spans="6:6" x14ac:dyDescent="0.25">
      <c r="F61" s="20" t="str">
        <f t="shared" si="0"/>
        <v/>
      </c>
    </row>
    <row r="62" spans="6:6" x14ac:dyDescent="0.25">
      <c r="F62" s="20" t="str">
        <f t="shared" si="0"/>
        <v/>
      </c>
    </row>
    <row r="63" spans="6:6" x14ac:dyDescent="0.25">
      <c r="F63" s="20" t="str">
        <f t="shared" si="0"/>
        <v/>
      </c>
    </row>
    <row r="64" spans="6:6" x14ac:dyDescent="0.25">
      <c r="F64" s="20" t="str">
        <f t="shared" si="0"/>
        <v/>
      </c>
    </row>
    <row r="65" spans="6:6" x14ac:dyDescent="0.25">
      <c r="F65" s="20" t="str">
        <f t="shared" si="0"/>
        <v/>
      </c>
    </row>
    <row r="66" spans="6:6" x14ac:dyDescent="0.25">
      <c r="F66" s="20" t="str">
        <f t="shared" ref="F66:F129" si="1">IF(D66&lt;&gt;"",D66*E66,"")</f>
        <v/>
      </c>
    </row>
    <row r="67" spans="6:6" x14ac:dyDescent="0.25">
      <c r="F67" s="20" t="str">
        <f t="shared" si="1"/>
        <v/>
      </c>
    </row>
    <row r="68" spans="6:6" x14ac:dyDescent="0.25">
      <c r="F68" s="20" t="str">
        <f t="shared" si="1"/>
        <v/>
      </c>
    </row>
    <row r="69" spans="6:6" x14ac:dyDescent="0.25">
      <c r="F69" s="20" t="str">
        <f t="shared" si="1"/>
        <v/>
      </c>
    </row>
    <row r="70" spans="6:6" x14ac:dyDescent="0.25">
      <c r="F70" s="20" t="str">
        <f t="shared" si="1"/>
        <v/>
      </c>
    </row>
    <row r="71" spans="6:6" x14ac:dyDescent="0.25">
      <c r="F71" s="20" t="str">
        <f t="shared" si="1"/>
        <v/>
      </c>
    </row>
    <row r="72" spans="6:6" x14ac:dyDescent="0.25">
      <c r="F72" s="20" t="str">
        <f t="shared" si="1"/>
        <v/>
      </c>
    </row>
    <row r="73" spans="6:6" x14ac:dyDescent="0.25">
      <c r="F73" s="20" t="str">
        <f t="shared" si="1"/>
        <v/>
      </c>
    </row>
    <row r="74" spans="6:6" x14ac:dyDescent="0.25">
      <c r="F74" s="20" t="str">
        <f t="shared" si="1"/>
        <v/>
      </c>
    </row>
    <row r="75" spans="6:6" x14ac:dyDescent="0.25">
      <c r="F75" s="20" t="str">
        <f t="shared" si="1"/>
        <v/>
      </c>
    </row>
    <row r="76" spans="6:6" x14ac:dyDescent="0.25">
      <c r="F76" s="20" t="str">
        <f t="shared" si="1"/>
        <v/>
      </c>
    </row>
    <row r="77" spans="6:6" x14ac:dyDescent="0.25">
      <c r="F77" s="20" t="str">
        <f t="shared" si="1"/>
        <v/>
      </c>
    </row>
    <row r="78" spans="6:6" x14ac:dyDescent="0.25">
      <c r="F78" s="20" t="str">
        <f t="shared" si="1"/>
        <v/>
      </c>
    </row>
    <row r="79" spans="6:6" x14ac:dyDescent="0.25">
      <c r="F79" s="20" t="str">
        <f t="shared" si="1"/>
        <v/>
      </c>
    </row>
    <row r="80" spans="6:6" x14ac:dyDescent="0.25">
      <c r="F80" s="20" t="str">
        <f t="shared" si="1"/>
        <v/>
      </c>
    </row>
    <row r="81" spans="6:6" x14ac:dyDescent="0.25">
      <c r="F81" s="20" t="str">
        <f t="shared" si="1"/>
        <v/>
      </c>
    </row>
    <row r="82" spans="6:6" x14ac:dyDescent="0.25">
      <c r="F82" s="20" t="str">
        <f t="shared" si="1"/>
        <v/>
      </c>
    </row>
    <row r="83" spans="6:6" x14ac:dyDescent="0.25">
      <c r="F83" s="20" t="str">
        <f t="shared" si="1"/>
        <v/>
      </c>
    </row>
    <row r="84" spans="6:6" x14ac:dyDescent="0.25">
      <c r="F84" s="20" t="str">
        <f t="shared" si="1"/>
        <v/>
      </c>
    </row>
    <row r="85" spans="6:6" x14ac:dyDescent="0.25">
      <c r="F85" s="20" t="str">
        <f t="shared" si="1"/>
        <v/>
      </c>
    </row>
    <row r="86" spans="6:6" x14ac:dyDescent="0.25">
      <c r="F86" s="20" t="str">
        <f t="shared" si="1"/>
        <v/>
      </c>
    </row>
    <row r="87" spans="6:6" x14ac:dyDescent="0.25">
      <c r="F87" s="20" t="str">
        <f t="shared" si="1"/>
        <v/>
      </c>
    </row>
    <row r="88" spans="6:6" x14ac:dyDescent="0.25">
      <c r="F88" s="20" t="str">
        <f t="shared" si="1"/>
        <v/>
      </c>
    </row>
    <row r="89" spans="6:6" x14ac:dyDescent="0.25">
      <c r="F89" s="20" t="str">
        <f t="shared" si="1"/>
        <v/>
      </c>
    </row>
    <row r="90" spans="6:6" x14ac:dyDescent="0.25">
      <c r="F90" s="20" t="str">
        <f t="shared" si="1"/>
        <v/>
      </c>
    </row>
    <row r="91" spans="6:6" x14ac:dyDescent="0.25">
      <c r="F91" s="20" t="str">
        <f t="shared" si="1"/>
        <v/>
      </c>
    </row>
    <row r="92" spans="6:6" x14ac:dyDescent="0.25">
      <c r="F92" s="20" t="str">
        <f t="shared" si="1"/>
        <v/>
      </c>
    </row>
    <row r="93" spans="6:6" x14ac:dyDescent="0.25">
      <c r="F93" s="20" t="str">
        <f t="shared" si="1"/>
        <v/>
      </c>
    </row>
    <row r="94" spans="6:6" x14ac:dyDescent="0.25">
      <c r="F94" s="20" t="str">
        <f t="shared" si="1"/>
        <v/>
      </c>
    </row>
    <row r="95" spans="6:6" x14ac:dyDescent="0.25">
      <c r="F95" s="20" t="str">
        <f t="shared" si="1"/>
        <v/>
      </c>
    </row>
    <row r="96" spans="6:6" x14ac:dyDescent="0.25">
      <c r="F96" s="20" t="str">
        <f t="shared" si="1"/>
        <v/>
      </c>
    </row>
    <row r="97" spans="6:6" x14ac:dyDescent="0.25">
      <c r="F97" s="20" t="str">
        <f t="shared" si="1"/>
        <v/>
      </c>
    </row>
    <row r="98" spans="6:6" x14ac:dyDescent="0.25">
      <c r="F98" s="20" t="str">
        <f t="shared" si="1"/>
        <v/>
      </c>
    </row>
    <row r="99" spans="6:6" x14ac:dyDescent="0.25">
      <c r="F99" s="20" t="str">
        <f t="shared" si="1"/>
        <v/>
      </c>
    </row>
    <row r="100" spans="6:6" x14ac:dyDescent="0.25">
      <c r="F100" s="20" t="str">
        <f t="shared" si="1"/>
        <v/>
      </c>
    </row>
    <row r="101" spans="6:6" x14ac:dyDescent="0.25">
      <c r="F101" s="20" t="str">
        <f t="shared" si="1"/>
        <v/>
      </c>
    </row>
    <row r="102" spans="6:6" x14ac:dyDescent="0.25">
      <c r="F102" s="20" t="str">
        <f t="shared" si="1"/>
        <v/>
      </c>
    </row>
    <row r="103" spans="6:6" x14ac:dyDescent="0.25">
      <c r="F103" s="20" t="str">
        <f t="shared" si="1"/>
        <v/>
      </c>
    </row>
    <row r="104" spans="6:6" x14ac:dyDescent="0.25">
      <c r="F104" s="20" t="str">
        <f t="shared" si="1"/>
        <v/>
      </c>
    </row>
    <row r="105" spans="6:6" x14ac:dyDescent="0.25">
      <c r="F105" s="20" t="str">
        <f t="shared" si="1"/>
        <v/>
      </c>
    </row>
    <row r="106" spans="6:6" x14ac:dyDescent="0.25">
      <c r="F106" s="20" t="str">
        <f t="shared" si="1"/>
        <v/>
      </c>
    </row>
    <row r="107" spans="6:6" x14ac:dyDescent="0.25">
      <c r="F107" s="20" t="str">
        <f t="shared" si="1"/>
        <v/>
      </c>
    </row>
    <row r="108" spans="6:6" x14ac:dyDescent="0.25">
      <c r="F108" s="20" t="str">
        <f t="shared" si="1"/>
        <v/>
      </c>
    </row>
    <row r="109" spans="6:6" x14ac:dyDescent="0.25">
      <c r="F109" s="20" t="str">
        <f t="shared" si="1"/>
        <v/>
      </c>
    </row>
    <row r="110" spans="6:6" x14ac:dyDescent="0.25">
      <c r="F110" s="20" t="str">
        <f t="shared" si="1"/>
        <v/>
      </c>
    </row>
    <row r="111" spans="6:6" x14ac:dyDescent="0.25">
      <c r="F111" s="20" t="str">
        <f t="shared" si="1"/>
        <v/>
      </c>
    </row>
    <row r="112" spans="6:6" x14ac:dyDescent="0.25">
      <c r="F112" s="20" t="str">
        <f t="shared" si="1"/>
        <v/>
      </c>
    </row>
    <row r="113" spans="6:6" x14ac:dyDescent="0.25">
      <c r="F113" s="20" t="str">
        <f t="shared" si="1"/>
        <v/>
      </c>
    </row>
    <row r="114" spans="6:6" x14ac:dyDescent="0.25">
      <c r="F114" s="20" t="str">
        <f t="shared" si="1"/>
        <v/>
      </c>
    </row>
    <row r="115" spans="6:6" x14ac:dyDescent="0.25">
      <c r="F115" s="20" t="str">
        <f t="shared" si="1"/>
        <v/>
      </c>
    </row>
    <row r="116" spans="6:6" x14ac:dyDescent="0.25">
      <c r="F116" s="20" t="str">
        <f t="shared" si="1"/>
        <v/>
      </c>
    </row>
    <row r="117" spans="6:6" x14ac:dyDescent="0.25">
      <c r="F117" s="20" t="str">
        <f t="shared" si="1"/>
        <v/>
      </c>
    </row>
    <row r="118" spans="6:6" x14ac:dyDescent="0.25">
      <c r="F118" s="20" t="str">
        <f t="shared" si="1"/>
        <v/>
      </c>
    </row>
    <row r="119" spans="6:6" x14ac:dyDescent="0.25">
      <c r="F119" s="20" t="str">
        <f t="shared" si="1"/>
        <v/>
      </c>
    </row>
    <row r="120" spans="6:6" x14ac:dyDescent="0.25">
      <c r="F120" s="20" t="str">
        <f t="shared" si="1"/>
        <v/>
      </c>
    </row>
    <row r="121" spans="6:6" x14ac:dyDescent="0.25">
      <c r="F121" s="20" t="str">
        <f t="shared" si="1"/>
        <v/>
      </c>
    </row>
    <row r="122" spans="6:6" x14ac:dyDescent="0.25">
      <c r="F122" s="20" t="str">
        <f t="shared" si="1"/>
        <v/>
      </c>
    </row>
    <row r="123" spans="6:6" x14ac:dyDescent="0.25">
      <c r="F123" s="20" t="str">
        <f t="shared" si="1"/>
        <v/>
      </c>
    </row>
    <row r="124" spans="6:6" x14ac:dyDescent="0.25">
      <c r="F124" s="20" t="str">
        <f t="shared" si="1"/>
        <v/>
      </c>
    </row>
    <row r="125" spans="6:6" x14ac:dyDescent="0.25">
      <c r="F125" s="20" t="str">
        <f t="shared" si="1"/>
        <v/>
      </c>
    </row>
    <row r="126" spans="6:6" x14ac:dyDescent="0.25">
      <c r="F126" s="20" t="str">
        <f t="shared" si="1"/>
        <v/>
      </c>
    </row>
    <row r="127" spans="6:6" x14ac:dyDescent="0.25">
      <c r="F127" s="20" t="str">
        <f t="shared" si="1"/>
        <v/>
      </c>
    </row>
    <row r="128" spans="6:6" x14ac:dyDescent="0.25">
      <c r="F128" s="20" t="str">
        <f t="shared" si="1"/>
        <v/>
      </c>
    </row>
    <row r="129" spans="6:6" x14ac:dyDescent="0.25">
      <c r="F129" s="20" t="str">
        <f t="shared" si="1"/>
        <v/>
      </c>
    </row>
    <row r="130" spans="6:6" x14ac:dyDescent="0.25">
      <c r="F130" s="20" t="str">
        <f t="shared" ref="F130:F193" si="2">IF(D130&lt;&gt;"",D130*E130,"")</f>
        <v/>
      </c>
    </row>
    <row r="131" spans="6:6" x14ac:dyDescent="0.25">
      <c r="F131" s="20" t="str">
        <f t="shared" si="2"/>
        <v/>
      </c>
    </row>
    <row r="132" spans="6:6" x14ac:dyDescent="0.25">
      <c r="F132" s="20" t="str">
        <f t="shared" si="2"/>
        <v/>
      </c>
    </row>
    <row r="133" spans="6:6" x14ac:dyDescent="0.25">
      <c r="F133" s="20" t="str">
        <f t="shared" si="2"/>
        <v/>
      </c>
    </row>
    <row r="134" spans="6:6" x14ac:dyDescent="0.25">
      <c r="F134" s="20" t="str">
        <f t="shared" si="2"/>
        <v/>
      </c>
    </row>
    <row r="135" spans="6:6" x14ac:dyDescent="0.25">
      <c r="F135" s="20" t="str">
        <f t="shared" si="2"/>
        <v/>
      </c>
    </row>
    <row r="136" spans="6:6" x14ac:dyDescent="0.25">
      <c r="F136" s="20" t="str">
        <f t="shared" si="2"/>
        <v/>
      </c>
    </row>
    <row r="137" spans="6:6" x14ac:dyDescent="0.25">
      <c r="F137" s="20" t="str">
        <f t="shared" si="2"/>
        <v/>
      </c>
    </row>
    <row r="138" spans="6:6" x14ac:dyDescent="0.25">
      <c r="F138" s="20" t="str">
        <f t="shared" si="2"/>
        <v/>
      </c>
    </row>
    <row r="139" spans="6:6" x14ac:dyDescent="0.25">
      <c r="F139" s="20" t="str">
        <f t="shared" si="2"/>
        <v/>
      </c>
    </row>
    <row r="140" spans="6:6" x14ac:dyDescent="0.25">
      <c r="F140" s="20" t="str">
        <f t="shared" si="2"/>
        <v/>
      </c>
    </row>
    <row r="141" spans="6:6" x14ac:dyDescent="0.25">
      <c r="F141" s="20" t="str">
        <f t="shared" si="2"/>
        <v/>
      </c>
    </row>
    <row r="142" spans="6:6" x14ac:dyDescent="0.25">
      <c r="F142" s="20" t="str">
        <f t="shared" si="2"/>
        <v/>
      </c>
    </row>
    <row r="143" spans="6:6" x14ac:dyDescent="0.25">
      <c r="F143" s="20" t="str">
        <f t="shared" si="2"/>
        <v/>
      </c>
    </row>
    <row r="144" spans="6:6" x14ac:dyDescent="0.25">
      <c r="F144" s="20" t="str">
        <f t="shared" si="2"/>
        <v/>
      </c>
    </row>
    <row r="145" spans="6:6" x14ac:dyDescent="0.25">
      <c r="F145" s="20" t="str">
        <f t="shared" si="2"/>
        <v/>
      </c>
    </row>
    <row r="146" spans="6:6" x14ac:dyDescent="0.25">
      <c r="F146" s="20" t="str">
        <f t="shared" si="2"/>
        <v/>
      </c>
    </row>
    <row r="147" spans="6:6" x14ac:dyDescent="0.25">
      <c r="F147" s="20" t="str">
        <f t="shared" si="2"/>
        <v/>
      </c>
    </row>
    <row r="148" spans="6:6" x14ac:dyDescent="0.25">
      <c r="F148" s="20" t="str">
        <f t="shared" si="2"/>
        <v/>
      </c>
    </row>
    <row r="149" spans="6:6" x14ac:dyDescent="0.25">
      <c r="F149" s="20" t="str">
        <f t="shared" si="2"/>
        <v/>
      </c>
    </row>
    <row r="150" spans="6:6" x14ac:dyDescent="0.25">
      <c r="F150" s="20" t="str">
        <f t="shared" si="2"/>
        <v/>
      </c>
    </row>
    <row r="151" spans="6:6" x14ac:dyDescent="0.25">
      <c r="F151" s="20" t="str">
        <f t="shared" si="2"/>
        <v/>
      </c>
    </row>
    <row r="152" spans="6:6" x14ac:dyDescent="0.25">
      <c r="F152" s="20" t="str">
        <f t="shared" si="2"/>
        <v/>
      </c>
    </row>
    <row r="153" spans="6:6" x14ac:dyDescent="0.25">
      <c r="F153" s="20" t="str">
        <f t="shared" si="2"/>
        <v/>
      </c>
    </row>
    <row r="154" spans="6:6" x14ac:dyDescent="0.25">
      <c r="F154" s="20" t="str">
        <f t="shared" si="2"/>
        <v/>
      </c>
    </row>
    <row r="155" spans="6:6" x14ac:dyDescent="0.25">
      <c r="F155" s="20" t="str">
        <f t="shared" si="2"/>
        <v/>
      </c>
    </row>
    <row r="156" spans="6:6" x14ac:dyDescent="0.25">
      <c r="F156" s="20" t="str">
        <f t="shared" si="2"/>
        <v/>
      </c>
    </row>
    <row r="157" spans="6:6" x14ac:dyDescent="0.25">
      <c r="F157" s="20" t="str">
        <f t="shared" si="2"/>
        <v/>
      </c>
    </row>
    <row r="158" spans="6:6" x14ac:dyDescent="0.25">
      <c r="F158" s="20" t="str">
        <f t="shared" si="2"/>
        <v/>
      </c>
    </row>
    <row r="159" spans="6:6" x14ac:dyDescent="0.25">
      <c r="F159" s="20" t="str">
        <f t="shared" si="2"/>
        <v/>
      </c>
    </row>
    <row r="160" spans="6:6" x14ac:dyDescent="0.25">
      <c r="F160" s="20" t="str">
        <f t="shared" si="2"/>
        <v/>
      </c>
    </row>
    <row r="161" spans="6:6" x14ac:dyDescent="0.25">
      <c r="F161" s="20" t="str">
        <f t="shared" si="2"/>
        <v/>
      </c>
    </row>
    <row r="162" spans="6:6" x14ac:dyDescent="0.25">
      <c r="F162" s="20" t="str">
        <f t="shared" si="2"/>
        <v/>
      </c>
    </row>
    <row r="163" spans="6:6" x14ac:dyDescent="0.25">
      <c r="F163" s="20" t="str">
        <f t="shared" si="2"/>
        <v/>
      </c>
    </row>
    <row r="164" spans="6:6" x14ac:dyDescent="0.25">
      <c r="F164" s="20" t="str">
        <f t="shared" si="2"/>
        <v/>
      </c>
    </row>
    <row r="165" spans="6:6" x14ac:dyDescent="0.25">
      <c r="F165" s="20" t="str">
        <f t="shared" si="2"/>
        <v/>
      </c>
    </row>
    <row r="166" spans="6:6" x14ac:dyDescent="0.25">
      <c r="F166" s="20" t="str">
        <f t="shared" si="2"/>
        <v/>
      </c>
    </row>
    <row r="167" spans="6:6" x14ac:dyDescent="0.25">
      <c r="F167" s="20" t="str">
        <f t="shared" si="2"/>
        <v/>
      </c>
    </row>
    <row r="168" spans="6:6" x14ac:dyDescent="0.25">
      <c r="F168" s="20" t="str">
        <f t="shared" si="2"/>
        <v/>
      </c>
    </row>
    <row r="169" spans="6:6" x14ac:dyDescent="0.25">
      <c r="F169" s="20" t="str">
        <f t="shared" si="2"/>
        <v/>
      </c>
    </row>
    <row r="170" spans="6:6" x14ac:dyDescent="0.25">
      <c r="F170" s="20" t="str">
        <f t="shared" si="2"/>
        <v/>
      </c>
    </row>
    <row r="171" spans="6:6" x14ac:dyDescent="0.25">
      <c r="F171" s="20" t="str">
        <f t="shared" si="2"/>
        <v/>
      </c>
    </row>
    <row r="172" spans="6:6" x14ac:dyDescent="0.25">
      <c r="F172" s="20" t="str">
        <f t="shared" si="2"/>
        <v/>
      </c>
    </row>
    <row r="173" spans="6:6" x14ac:dyDescent="0.25">
      <c r="F173" s="20" t="str">
        <f t="shared" si="2"/>
        <v/>
      </c>
    </row>
    <row r="174" spans="6:6" x14ac:dyDescent="0.25">
      <c r="F174" s="20" t="str">
        <f t="shared" si="2"/>
        <v/>
      </c>
    </row>
    <row r="175" spans="6:6" x14ac:dyDescent="0.25">
      <c r="F175" s="20" t="str">
        <f t="shared" si="2"/>
        <v/>
      </c>
    </row>
    <row r="176" spans="6:6" x14ac:dyDescent="0.25">
      <c r="F176" s="20" t="str">
        <f t="shared" si="2"/>
        <v/>
      </c>
    </row>
    <row r="177" spans="6:6" x14ac:dyDescent="0.25">
      <c r="F177" s="20" t="str">
        <f t="shared" si="2"/>
        <v/>
      </c>
    </row>
    <row r="178" spans="6:6" x14ac:dyDescent="0.25">
      <c r="F178" s="20" t="str">
        <f t="shared" si="2"/>
        <v/>
      </c>
    </row>
    <row r="179" spans="6:6" x14ac:dyDescent="0.25">
      <c r="F179" s="20" t="str">
        <f t="shared" si="2"/>
        <v/>
      </c>
    </row>
    <row r="180" spans="6:6" x14ac:dyDescent="0.25">
      <c r="F180" s="20" t="str">
        <f t="shared" si="2"/>
        <v/>
      </c>
    </row>
    <row r="181" spans="6:6" x14ac:dyDescent="0.25">
      <c r="F181" s="20" t="str">
        <f t="shared" si="2"/>
        <v/>
      </c>
    </row>
    <row r="182" spans="6:6" x14ac:dyDescent="0.25">
      <c r="F182" s="20" t="str">
        <f t="shared" si="2"/>
        <v/>
      </c>
    </row>
    <row r="183" spans="6:6" x14ac:dyDescent="0.25">
      <c r="F183" s="20" t="str">
        <f t="shared" si="2"/>
        <v/>
      </c>
    </row>
    <row r="184" spans="6:6" x14ac:dyDescent="0.25">
      <c r="F184" s="20" t="str">
        <f t="shared" si="2"/>
        <v/>
      </c>
    </row>
    <row r="185" spans="6:6" x14ac:dyDescent="0.25">
      <c r="F185" s="20" t="str">
        <f t="shared" si="2"/>
        <v/>
      </c>
    </row>
    <row r="186" spans="6:6" x14ac:dyDescent="0.25">
      <c r="F186" s="20" t="str">
        <f t="shared" si="2"/>
        <v/>
      </c>
    </row>
    <row r="187" spans="6:6" x14ac:dyDescent="0.25">
      <c r="F187" s="20" t="str">
        <f t="shared" si="2"/>
        <v/>
      </c>
    </row>
    <row r="188" spans="6:6" x14ac:dyDescent="0.25">
      <c r="F188" s="20" t="str">
        <f t="shared" si="2"/>
        <v/>
      </c>
    </row>
    <row r="189" spans="6:6" x14ac:dyDescent="0.25">
      <c r="F189" s="20" t="str">
        <f t="shared" si="2"/>
        <v/>
      </c>
    </row>
    <row r="190" spans="6:6" x14ac:dyDescent="0.25">
      <c r="F190" s="20" t="str">
        <f t="shared" si="2"/>
        <v/>
      </c>
    </row>
    <row r="191" spans="6:6" x14ac:dyDescent="0.25">
      <c r="F191" s="20" t="str">
        <f t="shared" si="2"/>
        <v/>
      </c>
    </row>
    <row r="192" spans="6:6" x14ac:dyDescent="0.25">
      <c r="F192" s="20" t="str">
        <f t="shared" si="2"/>
        <v/>
      </c>
    </row>
    <row r="193" spans="6:6" x14ac:dyDescent="0.25">
      <c r="F193" s="20" t="str">
        <f t="shared" si="2"/>
        <v/>
      </c>
    </row>
    <row r="194" spans="6:6" x14ac:dyDescent="0.25">
      <c r="F194" s="20" t="str">
        <f t="shared" ref="F194:F257" si="3">IF(D194&lt;&gt;"",D194*E194,"")</f>
        <v/>
      </c>
    </row>
    <row r="195" spans="6:6" x14ac:dyDescent="0.25">
      <c r="F195" s="20" t="str">
        <f t="shared" si="3"/>
        <v/>
      </c>
    </row>
    <row r="196" spans="6:6" x14ac:dyDescent="0.25">
      <c r="F196" s="20" t="str">
        <f t="shared" si="3"/>
        <v/>
      </c>
    </row>
    <row r="197" spans="6:6" x14ac:dyDescent="0.25">
      <c r="F197" s="20" t="str">
        <f t="shared" si="3"/>
        <v/>
      </c>
    </row>
    <row r="198" spans="6:6" x14ac:dyDescent="0.25">
      <c r="F198" s="20" t="str">
        <f t="shared" si="3"/>
        <v/>
      </c>
    </row>
    <row r="199" spans="6:6" x14ac:dyDescent="0.25">
      <c r="F199" s="20" t="str">
        <f t="shared" si="3"/>
        <v/>
      </c>
    </row>
    <row r="200" spans="6:6" x14ac:dyDescent="0.25">
      <c r="F200" s="20" t="str">
        <f t="shared" si="3"/>
        <v/>
      </c>
    </row>
    <row r="201" spans="6:6" x14ac:dyDescent="0.25">
      <c r="F201" s="20" t="str">
        <f t="shared" si="3"/>
        <v/>
      </c>
    </row>
    <row r="202" spans="6:6" x14ac:dyDescent="0.25">
      <c r="F202" s="20" t="str">
        <f t="shared" si="3"/>
        <v/>
      </c>
    </row>
    <row r="203" spans="6:6" x14ac:dyDescent="0.25">
      <c r="F203" s="20" t="str">
        <f t="shared" si="3"/>
        <v/>
      </c>
    </row>
    <row r="204" spans="6:6" x14ac:dyDescent="0.25">
      <c r="F204" s="20" t="str">
        <f t="shared" si="3"/>
        <v/>
      </c>
    </row>
    <row r="205" spans="6:6" x14ac:dyDescent="0.25">
      <c r="F205" s="20" t="str">
        <f t="shared" si="3"/>
        <v/>
      </c>
    </row>
    <row r="206" spans="6:6" x14ac:dyDescent="0.25">
      <c r="F206" s="20" t="str">
        <f t="shared" si="3"/>
        <v/>
      </c>
    </row>
    <row r="207" spans="6:6" x14ac:dyDescent="0.25">
      <c r="F207" s="20" t="str">
        <f t="shared" si="3"/>
        <v/>
      </c>
    </row>
    <row r="208" spans="6:6" x14ac:dyDescent="0.25">
      <c r="F208" s="20" t="str">
        <f t="shared" si="3"/>
        <v/>
      </c>
    </row>
    <row r="209" spans="6:6" x14ac:dyDescent="0.25">
      <c r="F209" s="20" t="str">
        <f t="shared" si="3"/>
        <v/>
      </c>
    </row>
    <row r="210" spans="6:6" x14ac:dyDescent="0.25">
      <c r="F210" s="20" t="str">
        <f t="shared" si="3"/>
        <v/>
      </c>
    </row>
    <row r="211" spans="6:6" x14ac:dyDescent="0.25">
      <c r="F211" s="20" t="str">
        <f t="shared" si="3"/>
        <v/>
      </c>
    </row>
    <row r="212" spans="6:6" x14ac:dyDescent="0.25">
      <c r="F212" s="20" t="str">
        <f t="shared" si="3"/>
        <v/>
      </c>
    </row>
    <row r="213" spans="6:6" x14ac:dyDescent="0.25">
      <c r="F213" s="20" t="str">
        <f t="shared" si="3"/>
        <v/>
      </c>
    </row>
    <row r="214" spans="6:6" x14ac:dyDescent="0.25">
      <c r="F214" s="20" t="str">
        <f t="shared" si="3"/>
        <v/>
      </c>
    </row>
    <row r="215" spans="6:6" x14ac:dyDescent="0.25">
      <c r="F215" s="20" t="str">
        <f t="shared" si="3"/>
        <v/>
      </c>
    </row>
    <row r="216" spans="6:6" x14ac:dyDescent="0.25">
      <c r="F216" s="20" t="str">
        <f t="shared" si="3"/>
        <v/>
      </c>
    </row>
    <row r="217" spans="6:6" x14ac:dyDescent="0.25">
      <c r="F217" s="20" t="str">
        <f t="shared" si="3"/>
        <v/>
      </c>
    </row>
    <row r="218" spans="6:6" x14ac:dyDescent="0.25">
      <c r="F218" s="20" t="str">
        <f t="shared" si="3"/>
        <v/>
      </c>
    </row>
    <row r="219" spans="6:6" x14ac:dyDescent="0.25">
      <c r="F219" s="20" t="str">
        <f t="shared" si="3"/>
        <v/>
      </c>
    </row>
    <row r="220" spans="6:6" x14ac:dyDescent="0.25">
      <c r="F220" s="20" t="str">
        <f t="shared" si="3"/>
        <v/>
      </c>
    </row>
    <row r="221" spans="6:6" x14ac:dyDescent="0.25">
      <c r="F221" s="20" t="str">
        <f t="shared" si="3"/>
        <v/>
      </c>
    </row>
    <row r="222" spans="6:6" x14ac:dyDescent="0.25">
      <c r="F222" s="20" t="str">
        <f t="shared" si="3"/>
        <v/>
      </c>
    </row>
    <row r="223" spans="6:6" x14ac:dyDescent="0.25">
      <c r="F223" s="20" t="str">
        <f t="shared" si="3"/>
        <v/>
      </c>
    </row>
    <row r="224" spans="6:6" x14ac:dyDescent="0.25">
      <c r="F224" s="20" t="str">
        <f t="shared" si="3"/>
        <v/>
      </c>
    </row>
    <row r="225" spans="6:6" x14ac:dyDescent="0.25">
      <c r="F225" s="20" t="str">
        <f t="shared" si="3"/>
        <v/>
      </c>
    </row>
    <row r="226" spans="6:6" x14ac:dyDescent="0.25">
      <c r="F226" s="20" t="str">
        <f t="shared" si="3"/>
        <v/>
      </c>
    </row>
    <row r="227" spans="6:6" x14ac:dyDescent="0.25">
      <c r="F227" s="20" t="str">
        <f t="shared" si="3"/>
        <v/>
      </c>
    </row>
    <row r="228" spans="6:6" x14ac:dyDescent="0.25">
      <c r="F228" s="20" t="str">
        <f t="shared" si="3"/>
        <v/>
      </c>
    </row>
    <row r="229" spans="6:6" x14ac:dyDescent="0.25">
      <c r="F229" s="20" t="str">
        <f t="shared" si="3"/>
        <v/>
      </c>
    </row>
    <row r="230" spans="6:6" x14ac:dyDescent="0.25">
      <c r="F230" s="20" t="str">
        <f t="shared" si="3"/>
        <v/>
      </c>
    </row>
    <row r="231" spans="6:6" x14ac:dyDescent="0.25">
      <c r="F231" s="20" t="str">
        <f t="shared" si="3"/>
        <v/>
      </c>
    </row>
    <row r="232" spans="6:6" x14ac:dyDescent="0.25">
      <c r="F232" s="20" t="str">
        <f t="shared" si="3"/>
        <v/>
      </c>
    </row>
    <row r="233" spans="6:6" x14ac:dyDescent="0.25">
      <c r="F233" s="20" t="str">
        <f t="shared" si="3"/>
        <v/>
      </c>
    </row>
    <row r="234" spans="6:6" x14ac:dyDescent="0.25">
      <c r="F234" s="20" t="str">
        <f t="shared" si="3"/>
        <v/>
      </c>
    </row>
    <row r="235" spans="6:6" x14ac:dyDescent="0.25">
      <c r="F235" s="20" t="str">
        <f t="shared" si="3"/>
        <v/>
      </c>
    </row>
    <row r="236" spans="6:6" x14ac:dyDescent="0.25">
      <c r="F236" s="20" t="str">
        <f t="shared" si="3"/>
        <v/>
      </c>
    </row>
    <row r="237" spans="6:6" x14ac:dyDescent="0.25">
      <c r="F237" s="20" t="str">
        <f t="shared" si="3"/>
        <v/>
      </c>
    </row>
    <row r="238" spans="6:6" x14ac:dyDescent="0.25">
      <c r="F238" s="20" t="str">
        <f t="shared" si="3"/>
        <v/>
      </c>
    </row>
    <row r="239" spans="6:6" x14ac:dyDescent="0.25">
      <c r="F239" s="20" t="str">
        <f t="shared" si="3"/>
        <v/>
      </c>
    </row>
    <row r="240" spans="6:6" x14ac:dyDescent="0.25">
      <c r="F240" s="20" t="str">
        <f t="shared" si="3"/>
        <v/>
      </c>
    </row>
    <row r="241" spans="6:6" x14ac:dyDescent="0.25">
      <c r="F241" s="20" t="str">
        <f t="shared" si="3"/>
        <v/>
      </c>
    </row>
    <row r="242" spans="6:6" x14ac:dyDescent="0.25">
      <c r="F242" s="20" t="str">
        <f t="shared" si="3"/>
        <v/>
      </c>
    </row>
    <row r="243" spans="6:6" x14ac:dyDescent="0.25">
      <c r="F243" s="20" t="str">
        <f t="shared" si="3"/>
        <v/>
      </c>
    </row>
    <row r="244" spans="6:6" x14ac:dyDescent="0.25">
      <c r="F244" s="20" t="str">
        <f t="shared" si="3"/>
        <v/>
      </c>
    </row>
    <row r="245" spans="6:6" x14ac:dyDescent="0.25">
      <c r="F245" s="20" t="str">
        <f t="shared" si="3"/>
        <v/>
      </c>
    </row>
    <row r="246" spans="6:6" x14ac:dyDescent="0.25">
      <c r="F246" s="20" t="str">
        <f t="shared" si="3"/>
        <v/>
      </c>
    </row>
    <row r="247" spans="6:6" x14ac:dyDescent="0.25">
      <c r="F247" s="20" t="str">
        <f t="shared" si="3"/>
        <v/>
      </c>
    </row>
    <row r="248" spans="6:6" x14ac:dyDescent="0.25">
      <c r="F248" s="20" t="str">
        <f t="shared" si="3"/>
        <v/>
      </c>
    </row>
    <row r="249" spans="6:6" x14ac:dyDescent="0.25">
      <c r="F249" s="20" t="str">
        <f t="shared" si="3"/>
        <v/>
      </c>
    </row>
    <row r="250" spans="6:6" x14ac:dyDescent="0.25">
      <c r="F250" s="20" t="str">
        <f t="shared" si="3"/>
        <v/>
      </c>
    </row>
    <row r="251" spans="6:6" x14ac:dyDescent="0.25">
      <c r="F251" s="20" t="str">
        <f t="shared" si="3"/>
        <v/>
      </c>
    </row>
    <row r="252" spans="6:6" x14ac:dyDescent="0.25">
      <c r="F252" s="20" t="str">
        <f t="shared" si="3"/>
        <v/>
      </c>
    </row>
    <row r="253" spans="6:6" x14ac:dyDescent="0.25">
      <c r="F253" s="20" t="str">
        <f t="shared" si="3"/>
        <v/>
      </c>
    </row>
    <row r="254" spans="6:6" x14ac:dyDescent="0.25">
      <c r="F254" s="20" t="str">
        <f t="shared" si="3"/>
        <v/>
      </c>
    </row>
    <row r="255" spans="6:6" x14ac:dyDescent="0.25">
      <c r="F255" s="20" t="str">
        <f t="shared" si="3"/>
        <v/>
      </c>
    </row>
    <row r="256" spans="6:6" x14ac:dyDescent="0.25">
      <c r="F256" s="20" t="str">
        <f t="shared" si="3"/>
        <v/>
      </c>
    </row>
    <row r="257" spans="6:6" x14ac:dyDescent="0.25">
      <c r="F257" s="20" t="str">
        <f t="shared" si="3"/>
        <v/>
      </c>
    </row>
    <row r="258" spans="6:6" x14ac:dyDescent="0.25">
      <c r="F258" s="20" t="str">
        <f t="shared" ref="F258:F321" si="4">IF(D258&lt;&gt;"",D258*E258,"")</f>
        <v/>
      </c>
    </row>
    <row r="259" spans="6:6" x14ac:dyDescent="0.25">
      <c r="F259" s="20" t="str">
        <f t="shared" si="4"/>
        <v/>
      </c>
    </row>
    <row r="260" spans="6:6" x14ac:dyDescent="0.25">
      <c r="F260" s="20" t="str">
        <f t="shared" si="4"/>
        <v/>
      </c>
    </row>
    <row r="261" spans="6:6" x14ac:dyDescent="0.25">
      <c r="F261" s="20" t="str">
        <f t="shared" si="4"/>
        <v/>
      </c>
    </row>
    <row r="262" spans="6:6" x14ac:dyDescent="0.25">
      <c r="F262" s="20" t="str">
        <f t="shared" si="4"/>
        <v/>
      </c>
    </row>
    <row r="263" spans="6:6" x14ac:dyDescent="0.25">
      <c r="F263" s="20" t="str">
        <f t="shared" si="4"/>
        <v/>
      </c>
    </row>
    <row r="264" spans="6:6" x14ac:dyDescent="0.25">
      <c r="F264" s="20" t="str">
        <f t="shared" si="4"/>
        <v/>
      </c>
    </row>
    <row r="265" spans="6:6" x14ac:dyDescent="0.25">
      <c r="F265" s="20" t="str">
        <f t="shared" si="4"/>
        <v/>
      </c>
    </row>
    <row r="266" spans="6:6" x14ac:dyDescent="0.25">
      <c r="F266" s="20" t="str">
        <f t="shared" si="4"/>
        <v/>
      </c>
    </row>
    <row r="267" spans="6:6" x14ac:dyDescent="0.25">
      <c r="F267" s="20" t="str">
        <f t="shared" si="4"/>
        <v/>
      </c>
    </row>
    <row r="268" spans="6:6" x14ac:dyDescent="0.25">
      <c r="F268" s="20" t="str">
        <f t="shared" si="4"/>
        <v/>
      </c>
    </row>
    <row r="269" spans="6:6" x14ac:dyDescent="0.25">
      <c r="F269" s="20" t="str">
        <f t="shared" si="4"/>
        <v/>
      </c>
    </row>
    <row r="270" spans="6:6" x14ac:dyDescent="0.25">
      <c r="F270" s="20" t="str">
        <f t="shared" si="4"/>
        <v/>
      </c>
    </row>
    <row r="271" spans="6:6" x14ac:dyDescent="0.25">
      <c r="F271" s="20" t="str">
        <f t="shared" si="4"/>
        <v/>
      </c>
    </row>
    <row r="272" spans="6:6" x14ac:dyDescent="0.25">
      <c r="F272" s="20" t="str">
        <f t="shared" si="4"/>
        <v/>
      </c>
    </row>
    <row r="273" spans="6:6" x14ac:dyDescent="0.25">
      <c r="F273" s="20" t="str">
        <f t="shared" si="4"/>
        <v/>
      </c>
    </row>
    <row r="274" spans="6:6" x14ac:dyDescent="0.25">
      <c r="F274" s="20" t="str">
        <f t="shared" si="4"/>
        <v/>
      </c>
    </row>
    <row r="275" spans="6:6" x14ac:dyDescent="0.25">
      <c r="F275" s="20" t="str">
        <f t="shared" si="4"/>
        <v/>
      </c>
    </row>
    <row r="276" spans="6:6" x14ac:dyDescent="0.25">
      <c r="F276" s="20" t="str">
        <f t="shared" si="4"/>
        <v/>
      </c>
    </row>
    <row r="277" spans="6:6" x14ac:dyDescent="0.25">
      <c r="F277" s="20" t="str">
        <f t="shared" si="4"/>
        <v/>
      </c>
    </row>
    <row r="278" spans="6:6" x14ac:dyDescent="0.25">
      <c r="F278" s="20" t="str">
        <f t="shared" si="4"/>
        <v/>
      </c>
    </row>
    <row r="279" spans="6:6" x14ac:dyDescent="0.25">
      <c r="F279" s="20" t="str">
        <f t="shared" si="4"/>
        <v/>
      </c>
    </row>
    <row r="280" spans="6:6" x14ac:dyDescent="0.25">
      <c r="F280" s="20" t="str">
        <f t="shared" si="4"/>
        <v/>
      </c>
    </row>
    <row r="281" spans="6:6" x14ac:dyDescent="0.25">
      <c r="F281" s="20" t="str">
        <f t="shared" si="4"/>
        <v/>
      </c>
    </row>
    <row r="282" spans="6:6" x14ac:dyDescent="0.25">
      <c r="F282" s="20" t="str">
        <f t="shared" si="4"/>
        <v/>
      </c>
    </row>
    <row r="283" spans="6:6" x14ac:dyDescent="0.25">
      <c r="F283" s="20" t="str">
        <f t="shared" si="4"/>
        <v/>
      </c>
    </row>
    <row r="284" spans="6:6" x14ac:dyDescent="0.25">
      <c r="F284" s="20" t="str">
        <f t="shared" si="4"/>
        <v/>
      </c>
    </row>
    <row r="285" spans="6:6" x14ac:dyDescent="0.25">
      <c r="F285" s="20" t="str">
        <f t="shared" si="4"/>
        <v/>
      </c>
    </row>
    <row r="286" spans="6:6" x14ac:dyDescent="0.25">
      <c r="F286" s="20" t="str">
        <f t="shared" si="4"/>
        <v/>
      </c>
    </row>
    <row r="287" spans="6:6" x14ac:dyDescent="0.25">
      <c r="F287" s="20" t="str">
        <f t="shared" si="4"/>
        <v/>
      </c>
    </row>
    <row r="288" spans="6:6" x14ac:dyDescent="0.25">
      <c r="F288" s="20" t="str">
        <f t="shared" si="4"/>
        <v/>
      </c>
    </row>
    <row r="289" spans="6:6" x14ac:dyDescent="0.25">
      <c r="F289" s="20" t="str">
        <f t="shared" si="4"/>
        <v/>
      </c>
    </row>
    <row r="290" spans="6:6" x14ac:dyDescent="0.25">
      <c r="F290" s="20" t="str">
        <f t="shared" si="4"/>
        <v/>
      </c>
    </row>
    <row r="291" spans="6:6" x14ac:dyDescent="0.25">
      <c r="F291" s="20" t="str">
        <f t="shared" si="4"/>
        <v/>
      </c>
    </row>
    <row r="292" spans="6:6" x14ac:dyDescent="0.25">
      <c r="F292" s="20" t="str">
        <f t="shared" si="4"/>
        <v/>
      </c>
    </row>
    <row r="293" spans="6:6" x14ac:dyDescent="0.25">
      <c r="F293" s="20" t="str">
        <f t="shared" si="4"/>
        <v/>
      </c>
    </row>
    <row r="294" spans="6:6" x14ac:dyDescent="0.25">
      <c r="F294" s="20" t="str">
        <f t="shared" si="4"/>
        <v/>
      </c>
    </row>
    <row r="295" spans="6:6" x14ac:dyDescent="0.25">
      <c r="F295" s="20" t="str">
        <f t="shared" si="4"/>
        <v/>
      </c>
    </row>
    <row r="296" spans="6:6" x14ac:dyDescent="0.25">
      <c r="F296" s="20" t="str">
        <f t="shared" si="4"/>
        <v/>
      </c>
    </row>
    <row r="297" spans="6:6" x14ac:dyDescent="0.25">
      <c r="F297" s="20" t="str">
        <f t="shared" si="4"/>
        <v/>
      </c>
    </row>
    <row r="298" spans="6:6" x14ac:dyDescent="0.25">
      <c r="F298" s="20" t="str">
        <f t="shared" si="4"/>
        <v/>
      </c>
    </row>
    <row r="299" spans="6:6" x14ac:dyDescent="0.25">
      <c r="F299" s="20" t="str">
        <f t="shared" si="4"/>
        <v/>
      </c>
    </row>
    <row r="300" spans="6:6" x14ac:dyDescent="0.25">
      <c r="F300" s="20" t="str">
        <f t="shared" si="4"/>
        <v/>
      </c>
    </row>
    <row r="301" spans="6:6" x14ac:dyDescent="0.25">
      <c r="F301" s="20" t="str">
        <f t="shared" si="4"/>
        <v/>
      </c>
    </row>
    <row r="302" spans="6:6" x14ac:dyDescent="0.25">
      <c r="F302" s="20" t="str">
        <f t="shared" si="4"/>
        <v/>
      </c>
    </row>
    <row r="303" spans="6:6" x14ac:dyDescent="0.25">
      <c r="F303" s="20" t="str">
        <f t="shared" si="4"/>
        <v/>
      </c>
    </row>
    <row r="304" spans="6:6" x14ac:dyDescent="0.25">
      <c r="F304" s="20" t="str">
        <f t="shared" si="4"/>
        <v/>
      </c>
    </row>
    <row r="305" spans="6:6" x14ac:dyDescent="0.25">
      <c r="F305" s="20" t="str">
        <f t="shared" si="4"/>
        <v/>
      </c>
    </row>
    <row r="306" spans="6:6" x14ac:dyDescent="0.25">
      <c r="F306" s="20" t="str">
        <f t="shared" si="4"/>
        <v/>
      </c>
    </row>
    <row r="307" spans="6:6" x14ac:dyDescent="0.25">
      <c r="F307" s="20" t="str">
        <f t="shared" si="4"/>
        <v/>
      </c>
    </row>
    <row r="308" spans="6:6" x14ac:dyDescent="0.25">
      <c r="F308" s="20" t="str">
        <f t="shared" si="4"/>
        <v/>
      </c>
    </row>
    <row r="309" spans="6:6" x14ac:dyDescent="0.25">
      <c r="F309" s="20" t="str">
        <f t="shared" si="4"/>
        <v/>
      </c>
    </row>
    <row r="310" spans="6:6" x14ac:dyDescent="0.25">
      <c r="F310" s="20" t="str">
        <f t="shared" si="4"/>
        <v/>
      </c>
    </row>
    <row r="311" spans="6:6" x14ac:dyDescent="0.25">
      <c r="F311" s="20" t="str">
        <f t="shared" si="4"/>
        <v/>
      </c>
    </row>
    <row r="312" spans="6:6" x14ac:dyDescent="0.25">
      <c r="F312" s="20" t="str">
        <f t="shared" si="4"/>
        <v/>
      </c>
    </row>
    <row r="313" spans="6:6" x14ac:dyDescent="0.25">
      <c r="F313" s="20" t="str">
        <f t="shared" si="4"/>
        <v/>
      </c>
    </row>
    <row r="314" spans="6:6" x14ac:dyDescent="0.25">
      <c r="F314" s="20" t="str">
        <f t="shared" si="4"/>
        <v/>
      </c>
    </row>
    <row r="315" spans="6:6" x14ac:dyDescent="0.25">
      <c r="F315" s="20" t="str">
        <f t="shared" si="4"/>
        <v/>
      </c>
    </row>
    <row r="316" spans="6:6" x14ac:dyDescent="0.25">
      <c r="F316" s="20" t="str">
        <f t="shared" si="4"/>
        <v/>
      </c>
    </row>
    <row r="317" spans="6:6" x14ac:dyDescent="0.25">
      <c r="F317" s="20" t="str">
        <f t="shared" si="4"/>
        <v/>
      </c>
    </row>
    <row r="318" spans="6:6" x14ac:dyDescent="0.25">
      <c r="F318" s="20" t="str">
        <f t="shared" si="4"/>
        <v/>
      </c>
    </row>
    <row r="319" spans="6:6" x14ac:dyDescent="0.25">
      <c r="F319" s="20" t="str">
        <f t="shared" si="4"/>
        <v/>
      </c>
    </row>
    <row r="320" spans="6:6" x14ac:dyDescent="0.25">
      <c r="F320" s="20" t="str">
        <f t="shared" si="4"/>
        <v/>
      </c>
    </row>
    <row r="321" spans="6:6" x14ac:dyDescent="0.25">
      <c r="F321" s="20" t="str">
        <f t="shared" si="4"/>
        <v/>
      </c>
    </row>
    <row r="322" spans="6:6" x14ac:dyDescent="0.25">
      <c r="F322" s="20" t="str">
        <f t="shared" ref="F322:F385" si="5">IF(D322&lt;&gt;"",D322*E322,"")</f>
        <v/>
      </c>
    </row>
    <row r="323" spans="6:6" x14ac:dyDescent="0.25">
      <c r="F323" s="20" t="str">
        <f t="shared" si="5"/>
        <v/>
      </c>
    </row>
    <row r="324" spans="6:6" x14ac:dyDescent="0.25">
      <c r="F324" s="20" t="str">
        <f t="shared" si="5"/>
        <v/>
      </c>
    </row>
    <row r="325" spans="6:6" x14ac:dyDescent="0.25">
      <c r="F325" s="20" t="str">
        <f t="shared" si="5"/>
        <v/>
      </c>
    </row>
    <row r="326" spans="6:6" x14ac:dyDescent="0.25">
      <c r="F326" s="20" t="str">
        <f t="shared" si="5"/>
        <v/>
      </c>
    </row>
    <row r="327" spans="6:6" x14ac:dyDescent="0.25">
      <c r="F327" s="20" t="str">
        <f t="shared" si="5"/>
        <v/>
      </c>
    </row>
    <row r="328" spans="6:6" x14ac:dyDescent="0.25">
      <c r="F328" s="20" t="str">
        <f t="shared" si="5"/>
        <v/>
      </c>
    </row>
    <row r="329" spans="6:6" x14ac:dyDescent="0.25">
      <c r="F329" s="20" t="str">
        <f t="shared" si="5"/>
        <v/>
      </c>
    </row>
    <row r="330" spans="6:6" x14ac:dyDescent="0.25">
      <c r="F330" s="20" t="str">
        <f t="shared" si="5"/>
        <v/>
      </c>
    </row>
    <row r="331" spans="6:6" x14ac:dyDescent="0.25">
      <c r="F331" s="20" t="str">
        <f t="shared" si="5"/>
        <v/>
      </c>
    </row>
    <row r="332" spans="6:6" x14ac:dyDescent="0.25">
      <c r="F332" s="20" t="str">
        <f t="shared" si="5"/>
        <v/>
      </c>
    </row>
    <row r="333" spans="6:6" x14ac:dyDescent="0.25">
      <c r="F333" s="20" t="str">
        <f t="shared" si="5"/>
        <v/>
      </c>
    </row>
    <row r="334" spans="6:6" x14ac:dyDescent="0.25">
      <c r="F334" s="20" t="str">
        <f t="shared" si="5"/>
        <v/>
      </c>
    </row>
    <row r="335" spans="6:6" x14ac:dyDescent="0.25">
      <c r="F335" s="20" t="str">
        <f t="shared" si="5"/>
        <v/>
      </c>
    </row>
    <row r="336" spans="6:6" x14ac:dyDescent="0.25">
      <c r="F336" s="20" t="str">
        <f t="shared" si="5"/>
        <v/>
      </c>
    </row>
    <row r="337" spans="6:6" x14ac:dyDescent="0.25">
      <c r="F337" s="20" t="str">
        <f t="shared" si="5"/>
        <v/>
      </c>
    </row>
    <row r="338" spans="6:6" x14ac:dyDescent="0.25">
      <c r="F338" s="20" t="str">
        <f t="shared" si="5"/>
        <v/>
      </c>
    </row>
    <row r="339" spans="6:6" x14ac:dyDescent="0.25">
      <c r="F339" s="20" t="str">
        <f t="shared" si="5"/>
        <v/>
      </c>
    </row>
    <row r="340" spans="6:6" x14ac:dyDescent="0.25">
      <c r="F340" s="20" t="str">
        <f t="shared" si="5"/>
        <v/>
      </c>
    </row>
    <row r="341" spans="6:6" x14ac:dyDescent="0.25">
      <c r="F341" s="20" t="str">
        <f t="shared" si="5"/>
        <v/>
      </c>
    </row>
    <row r="342" spans="6:6" x14ac:dyDescent="0.25">
      <c r="F342" s="20" t="str">
        <f t="shared" si="5"/>
        <v/>
      </c>
    </row>
    <row r="343" spans="6:6" x14ac:dyDescent="0.25">
      <c r="F343" s="20" t="str">
        <f t="shared" si="5"/>
        <v/>
      </c>
    </row>
    <row r="344" spans="6:6" x14ac:dyDescent="0.25">
      <c r="F344" s="20" t="str">
        <f t="shared" si="5"/>
        <v/>
      </c>
    </row>
    <row r="345" spans="6:6" x14ac:dyDescent="0.25">
      <c r="F345" s="20" t="str">
        <f t="shared" si="5"/>
        <v/>
      </c>
    </row>
    <row r="346" spans="6:6" x14ac:dyDescent="0.25">
      <c r="F346" s="20" t="str">
        <f t="shared" si="5"/>
        <v/>
      </c>
    </row>
    <row r="347" spans="6:6" x14ac:dyDescent="0.25">
      <c r="F347" s="20" t="str">
        <f t="shared" si="5"/>
        <v/>
      </c>
    </row>
    <row r="348" spans="6:6" x14ac:dyDescent="0.25">
      <c r="F348" s="20" t="str">
        <f t="shared" si="5"/>
        <v/>
      </c>
    </row>
    <row r="349" spans="6:6" x14ac:dyDescent="0.25">
      <c r="F349" s="20" t="str">
        <f t="shared" si="5"/>
        <v/>
      </c>
    </row>
    <row r="350" spans="6:6" x14ac:dyDescent="0.25">
      <c r="F350" s="20" t="str">
        <f t="shared" si="5"/>
        <v/>
      </c>
    </row>
    <row r="351" spans="6:6" x14ac:dyDescent="0.25">
      <c r="F351" s="20" t="str">
        <f t="shared" si="5"/>
        <v/>
      </c>
    </row>
    <row r="352" spans="6:6" x14ac:dyDescent="0.25">
      <c r="F352" s="20" t="str">
        <f t="shared" si="5"/>
        <v/>
      </c>
    </row>
    <row r="353" spans="6:6" x14ac:dyDescent="0.25">
      <c r="F353" s="20" t="str">
        <f t="shared" si="5"/>
        <v/>
      </c>
    </row>
    <row r="354" spans="6:6" x14ac:dyDescent="0.25">
      <c r="F354" s="20" t="str">
        <f t="shared" si="5"/>
        <v/>
      </c>
    </row>
    <row r="355" spans="6:6" x14ac:dyDescent="0.25">
      <c r="F355" s="20" t="str">
        <f t="shared" si="5"/>
        <v/>
      </c>
    </row>
    <row r="356" spans="6:6" x14ac:dyDescent="0.25">
      <c r="F356" s="20" t="str">
        <f t="shared" si="5"/>
        <v/>
      </c>
    </row>
    <row r="357" spans="6:6" x14ac:dyDescent="0.25">
      <c r="F357" s="20" t="str">
        <f t="shared" si="5"/>
        <v/>
      </c>
    </row>
    <row r="358" spans="6:6" x14ac:dyDescent="0.25">
      <c r="F358" s="20" t="str">
        <f t="shared" si="5"/>
        <v/>
      </c>
    </row>
    <row r="359" spans="6:6" x14ac:dyDescent="0.25">
      <c r="F359" s="20" t="str">
        <f t="shared" si="5"/>
        <v/>
      </c>
    </row>
    <row r="360" spans="6:6" x14ac:dyDescent="0.25">
      <c r="F360" s="20" t="str">
        <f t="shared" si="5"/>
        <v/>
      </c>
    </row>
    <row r="361" spans="6:6" x14ac:dyDescent="0.25">
      <c r="F361" s="20" t="str">
        <f t="shared" si="5"/>
        <v/>
      </c>
    </row>
    <row r="362" spans="6:6" x14ac:dyDescent="0.25">
      <c r="F362" s="20" t="str">
        <f t="shared" si="5"/>
        <v/>
      </c>
    </row>
    <row r="363" spans="6:6" x14ac:dyDescent="0.25">
      <c r="F363" s="20" t="str">
        <f t="shared" si="5"/>
        <v/>
      </c>
    </row>
    <row r="364" spans="6:6" x14ac:dyDescent="0.25">
      <c r="F364" s="20" t="str">
        <f t="shared" si="5"/>
        <v/>
      </c>
    </row>
    <row r="365" spans="6:6" x14ac:dyDescent="0.25">
      <c r="F365" s="20" t="str">
        <f t="shared" si="5"/>
        <v/>
      </c>
    </row>
    <row r="366" spans="6:6" x14ac:dyDescent="0.25">
      <c r="F366" s="20" t="str">
        <f t="shared" si="5"/>
        <v/>
      </c>
    </row>
    <row r="367" spans="6:6" x14ac:dyDescent="0.25">
      <c r="F367" s="20" t="str">
        <f t="shared" si="5"/>
        <v/>
      </c>
    </row>
    <row r="368" spans="6:6" x14ac:dyDescent="0.25">
      <c r="F368" s="20" t="str">
        <f t="shared" si="5"/>
        <v/>
      </c>
    </row>
    <row r="369" spans="6:6" x14ac:dyDescent="0.25">
      <c r="F369" s="20" t="str">
        <f t="shared" si="5"/>
        <v/>
      </c>
    </row>
    <row r="370" spans="6:6" x14ac:dyDescent="0.25">
      <c r="F370" s="20" t="str">
        <f t="shared" si="5"/>
        <v/>
      </c>
    </row>
    <row r="371" spans="6:6" x14ac:dyDescent="0.25">
      <c r="F371" s="20" t="str">
        <f t="shared" si="5"/>
        <v/>
      </c>
    </row>
    <row r="372" spans="6:6" x14ac:dyDescent="0.25">
      <c r="F372" s="20" t="str">
        <f t="shared" si="5"/>
        <v/>
      </c>
    </row>
    <row r="373" spans="6:6" x14ac:dyDescent="0.25">
      <c r="F373" s="20" t="str">
        <f t="shared" si="5"/>
        <v/>
      </c>
    </row>
    <row r="374" spans="6:6" x14ac:dyDescent="0.25">
      <c r="F374" s="20" t="str">
        <f t="shared" si="5"/>
        <v/>
      </c>
    </row>
    <row r="375" spans="6:6" x14ac:dyDescent="0.25">
      <c r="F375" s="20" t="str">
        <f t="shared" si="5"/>
        <v/>
      </c>
    </row>
    <row r="376" spans="6:6" x14ac:dyDescent="0.25">
      <c r="F376" s="20" t="str">
        <f t="shared" si="5"/>
        <v/>
      </c>
    </row>
    <row r="377" spans="6:6" x14ac:dyDescent="0.25">
      <c r="F377" s="20" t="str">
        <f t="shared" si="5"/>
        <v/>
      </c>
    </row>
    <row r="378" spans="6:6" x14ac:dyDescent="0.25">
      <c r="F378" s="20" t="str">
        <f t="shared" si="5"/>
        <v/>
      </c>
    </row>
    <row r="379" spans="6:6" x14ac:dyDescent="0.25">
      <c r="F379" s="20" t="str">
        <f t="shared" si="5"/>
        <v/>
      </c>
    </row>
    <row r="380" spans="6:6" x14ac:dyDescent="0.25">
      <c r="F380" s="20" t="str">
        <f t="shared" si="5"/>
        <v/>
      </c>
    </row>
    <row r="381" spans="6:6" x14ac:dyDescent="0.25">
      <c r="F381" s="20" t="str">
        <f t="shared" si="5"/>
        <v/>
      </c>
    </row>
    <row r="382" spans="6:6" x14ac:dyDescent="0.25">
      <c r="F382" s="20" t="str">
        <f t="shared" si="5"/>
        <v/>
      </c>
    </row>
    <row r="383" spans="6:6" x14ac:dyDescent="0.25">
      <c r="F383" s="20" t="str">
        <f t="shared" si="5"/>
        <v/>
      </c>
    </row>
    <row r="384" spans="6:6" x14ac:dyDescent="0.25">
      <c r="F384" s="20" t="str">
        <f t="shared" si="5"/>
        <v/>
      </c>
    </row>
    <row r="385" spans="6:6" x14ac:dyDescent="0.25">
      <c r="F385" s="20" t="str">
        <f t="shared" si="5"/>
        <v/>
      </c>
    </row>
    <row r="386" spans="6:6" x14ac:dyDescent="0.25">
      <c r="F386" s="20" t="str">
        <f t="shared" ref="F386:F449" si="6">IF(D386&lt;&gt;"",D386*E386,"")</f>
        <v/>
      </c>
    </row>
    <row r="387" spans="6:6" x14ac:dyDescent="0.25">
      <c r="F387" s="20" t="str">
        <f t="shared" si="6"/>
        <v/>
      </c>
    </row>
    <row r="388" spans="6:6" x14ac:dyDescent="0.25">
      <c r="F388" s="20" t="str">
        <f t="shared" si="6"/>
        <v/>
      </c>
    </row>
    <row r="389" spans="6:6" x14ac:dyDescent="0.25">
      <c r="F389" s="20" t="str">
        <f t="shared" si="6"/>
        <v/>
      </c>
    </row>
    <row r="390" spans="6:6" x14ac:dyDescent="0.25">
      <c r="F390" s="20" t="str">
        <f t="shared" si="6"/>
        <v/>
      </c>
    </row>
    <row r="391" spans="6:6" x14ac:dyDescent="0.25">
      <c r="F391" s="20" t="str">
        <f t="shared" si="6"/>
        <v/>
      </c>
    </row>
    <row r="392" spans="6:6" x14ac:dyDescent="0.25">
      <c r="F392" s="20" t="str">
        <f t="shared" si="6"/>
        <v/>
      </c>
    </row>
    <row r="393" spans="6:6" x14ac:dyDescent="0.25">
      <c r="F393" s="20" t="str">
        <f t="shared" si="6"/>
        <v/>
      </c>
    </row>
    <row r="394" spans="6:6" x14ac:dyDescent="0.25">
      <c r="F394" s="20" t="str">
        <f t="shared" si="6"/>
        <v/>
      </c>
    </row>
    <row r="395" spans="6:6" x14ac:dyDescent="0.25">
      <c r="F395" s="20" t="str">
        <f t="shared" si="6"/>
        <v/>
      </c>
    </row>
    <row r="396" spans="6:6" x14ac:dyDescent="0.25">
      <c r="F396" s="20" t="str">
        <f t="shared" si="6"/>
        <v/>
      </c>
    </row>
    <row r="397" spans="6:6" x14ac:dyDescent="0.25">
      <c r="F397" s="20" t="str">
        <f t="shared" si="6"/>
        <v/>
      </c>
    </row>
    <row r="398" spans="6:6" x14ac:dyDescent="0.25">
      <c r="F398" s="20" t="str">
        <f t="shared" si="6"/>
        <v/>
      </c>
    </row>
    <row r="399" spans="6:6" x14ac:dyDescent="0.25">
      <c r="F399" s="20" t="str">
        <f t="shared" si="6"/>
        <v/>
      </c>
    </row>
    <row r="400" spans="6:6" x14ac:dyDescent="0.25">
      <c r="F400" s="20" t="str">
        <f t="shared" si="6"/>
        <v/>
      </c>
    </row>
    <row r="401" spans="6:6" x14ac:dyDescent="0.25">
      <c r="F401" s="20" t="str">
        <f t="shared" si="6"/>
        <v/>
      </c>
    </row>
    <row r="402" spans="6:6" x14ac:dyDescent="0.25">
      <c r="F402" s="20" t="str">
        <f t="shared" si="6"/>
        <v/>
      </c>
    </row>
    <row r="403" spans="6:6" x14ac:dyDescent="0.25">
      <c r="F403" s="20" t="str">
        <f t="shared" si="6"/>
        <v/>
      </c>
    </row>
    <row r="404" spans="6:6" x14ac:dyDescent="0.25">
      <c r="F404" s="20" t="str">
        <f t="shared" si="6"/>
        <v/>
      </c>
    </row>
    <row r="405" spans="6:6" x14ac:dyDescent="0.25">
      <c r="F405" s="20" t="str">
        <f t="shared" si="6"/>
        <v/>
      </c>
    </row>
    <row r="406" spans="6:6" x14ac:dyDescent="0.25">
      <c r="F406" s="20" t="str">
        <f t="shared" si="6"/>
        <v/>
      </c>
    </row>
    <row r="407" spans="6:6" x14ac:dyDescent="0.25">
      <c r="F407" s="20" t="str">
        <f t="shared" si="6"/>
        <v/>
      </c>
    </row>
    <row r="408" spans="6:6" x14ac:dyDescent="0.25">
      <c r="F408" s="20" t="str">
        <f t="shared" si="6"/>
        <v/>
      </c>
    </row>
    <row r="409" spans="6:6" x14ac:dyDescent="0.25">
      <c r="F409" s="20" t="str">
        <f t="shared" si="6"/>
        <v/>
      </c>
    </row>
    <row r="410" spans="6:6" x14ac:dyDescent="0.25">
      <c r="F410" s="20" t="str">
        <f t="shared" si="6"/>
        <v/>
      </c>
    </row>
    <row r="411" spans="6:6" x14ac:dyDescent="0.25">
      <c r="F411" s="20" t="str">
        <f t="shared" si="6"/>
        <v/>
      </c>
    </row>
    <row r="412" spans="6:6" x14ac:dyDescent="0.25">
      <c r="F412" s="20" t="str">
        <f t="shared" si="6"/>
        <v/>
      </c>
    </row>
    <row r="413" spans="6:6" x14ac:dyDescent="0.25">
      <c r="F413" s="20" t="str">
        <f t="shared" si="6"/>
        <v/>
      </c>
    </row>
    <row r="414" spans="6:6" x14ac:dyDescent="0.25">
      <c r="F414" s="20" t="str">
        <f t="shared" si="6"/>
        <v/>
      </c>
    </row>
    <row r="415" spans="6:6" x14ac:dyDescent="0.25">
      <c r="F415" s="20" t="str">
        <f t="shared" si="6"/>
        <v/>
      </c>
    </row>
    <row r="416" spans="6:6" x14ac:dyDescent="0.25">
      <c r="F416" s="20" t="str">
        <f t="shared" si="6"/>
        <v/>
      </c>
    </row>
    <row r="417" spans="6:6" x14ac:dyDescent="0.25">
      <c r="F417" s="20" t="str">
        <f t="shared" si="6"/>
        <v/>
      </c>
    </row>
    <row r="418" spans="6:6" x14ac:dyDescent="0.25">
      <c r="F418" s="20" t="str">
        <f t="shared" si="6"/>
        <v/>
      </c>
    </row>
    <row r="419" spans="6:6" x14ac:dyDescent="0.25">
      <c r="F419" s="20" t="str">
        <f t="shared" si="6"/>
        <v/>
      </c>
    </row>
    <row r="420" spans="6:6" x14ac:dyDescent="0.25">
      <c r="F420" s="20" t="str">
        <f t="shared" si="6"/>
        <v/>
      </c>
    </row>
    <row r="421" spans="6:6" x14ac:dyDescent="0.25">
      <c r="F421" s="20" t="str">
        <f t="shared" si="6"/>
        <v/>
      </c>
    </row>
    <row r="422" spans="6:6" x14ac:dyDescent="0.25">
      <c r="F422" s="20" t="str">
        <f t="shared" si="6"/>
        <v/>
      </c>
    </row>
    <row r="423" spans="6:6" x14ac:dyDescent="0.25">
      <c r="F423" s="20" t="str">
        <f t="shared" si="6"/>
        <v/>
      </c>
    </row>
    <row r="424" spans="6:6" x14ac:dyDescent="0.25">
      <c r="F424" s="20" t="str">
        <f t="shared" si="6"/>
        <v/>
      </c>
    </row>
    <row r="425" spans="6:6" x14ac:dyDescent="0.25">
      <c r="F425" s="20" t="str">
        <f t="shared" si="6"/>
        <v/>
      </c>
    </row>
    <row r="426" spans="6:6" x14ac:dyDescent="0.25">
      <c r="F426" s="20" t="str">
        <f t="shared" si="6"/>
        <v/>
      </c>
    </row>
    <row r="427" spans="6:6" x14ac:dyDescent="0.25">
      <c r="F427" s="20" t="str">
        <f t="shared" si="6"/>
        <v/>
      </c>
    </row>
    <row r="428" spans="6:6" x14ac:dyDescent="0.25">
      <c r="F428" s="20" t="str">
        <f t="shared" si="6"/>
        <v/>
      </c>
    </row>
    <row r="429" spans="6:6" x14ac:dyDescent="0.25">
      <c r="F429" s="20" t="str">
        <f t="shared" si="6"/>
        <v/>
      </c>
    </row>
    <row r="430" spans="6:6" x14ac:dyDescent="0.25">
      <c r="F430" s="20" t="str">
        <f t="shared" si="6"/>
        <v/>
      </c>
    </row>
    <row r="431" spans="6:6" x14ac:dyDescent="0.25">
      <c r="F431" s="20" t="str">
        <f t="shared" si="6"/>
        <v/>
      </c>
    </row>
    <row r="432" spans="6:6" x14ac:dyDescent="0.25">
      <c r="F432" s="20" t="str">
        <f t="shared" si="6"/>
        <v/>
      </c>
    </row>
    <row r="433" spans="6:6" x14ac:dyDescent="0.25">
      <c r="F433" s="20" t="str">
        <f t="shared" si="6"/>
        <v/>
      </c>
    </row>
    <row r="434" spans="6:6" x14ac:dyDescent="0.25">
      <c r="F434" s="20" t="str">
        <f t="shared" si="6"/>
        <v/>
      </c>
    </row>
    <row r="435" spans="6:6" x14ac:dyDescent="0.25">
      <c r="F435" s="20" t="str">
        <f t="shared" si="6"/>
        <v/>
      </c>
    </row>
    <row r="436" spans="6:6" x14ac:dyDescent="0.25">
      <c r="F436" s="20" t="str">
        <f t="shared" si="6"/>
        <v/>
      </c>
    </row>
    <row r="437" spans="6:6" x14ac:dyDescent="0.25">
      <c r="F437" s="20" t="str">
        <f t="shared" si="6"/>
        <v/>
      </c>
    </row>
    <row r="438" spans="6:6" x14ac:dyDescent="0.25">
      <c r="F438" s="20" t="str">
        <f t="shared" si="6"/>
        <v/>
      </c>
    </row>
    <row r="439" spans="6:6" x14ac:dyDescent="0.25">
      <c r="F439" s="20" t="str">
        <f t="shared" si="6"/>
        <v/>
      </c>
    </row>
    <row r="440" spans="6:6" x14ac:dyDescent="0.25">
      <c r="F440" s="20" t="str">
        <f t="shared" si="6"/>
        <v/>
      </c>
    </row>
    <row r="441" spans="6:6" x14ac:dyDescent="0.25">
      <c r="F441" s="20" t="str">
        <f t="shared" si="6"/>
        <v/>
      </c>
    </row>
    <row r="442" spans="6:6" x14ac:dyDescent="0.25">
      <c r="F442" s="20" t="str">
        <f t="shared" si="6"/>
        <v/>
      </c>
    </row>
    <row r="443" spans="6:6" x14ac:dyDescent="0.25">
      <c r="F443" s="20" t="str">
        <f t="shared" si="6"/>
        <v/>
      </c>
    </row>
    <row r="444" spans="6:6" x14ac:dyDescent="0.25">
      <c r="F444" s="20" t="str">
        <f t="shared" si="6"/>
        <v/>
      </c>
    </row>
    <row r="445" spans="6:6" x14ac:dyDescent="0.25">
      <c r="F445" s="20" t="str">
        <f t="shared" si="6"/>
        <v/>
      </c>
    </row>
    <row r="446" spans="6:6" x14ac:dyDescent="0.25">
      <c r="F446" s="20" t="str">
        <f t="shared" si="6"/>
        <v/>
      </c>
    </row>
    <row r="447" spans="6:6" x14ac:dyDescent="0.25">
      <c r="F447" s="20" t="str">
        <f t="shared" si="6"/>
        <v/>
      </c>
    </row>
    <row r="448" spans="6:6" x14ac:dyDescent="0.25">
      <c r="F448" s="20" t="str">
        <f t="shared" si="6"/>
        <v/>
      </c>
    </row>
    <row r="449" spans="6:6" x14ac:dyDescent="0.25">
      <c r="F449" s="20" t="str">
        <f t="shared" si="6"/>
        <v/>
      </c>
    </row>
    <row r="450" spans="6:6" x14ac:dyDescent="0.25">
      <c r="F450" s="20" t="str">
        <f t="shared" ref="F450:F513" si="7">IF(D450&lt;&gt;"",D450*E450,"")</f>
        <v/>
      </c>
    </row>
    <row r="451" spans="6:6" x14ac:dyDescent="0.25">
      <c r="F451" s="20" t="str">
        <f t="shared" si="7"/>
        <v/>
      </c>
    </row>
    <row r="452" spans="6:6" x14ac:dyDescent="0.25">
      <c r="F452" s="20" t="str">
        <f t="shared" si="7"/>
        <v/>
      </c>
    </row>
    <row r="453" spans="6:6" x14ac:dyDescent="0.25">
      <c r="F453" s="20" t="str">
        <f t="shared" si="7"/>
        <v/>
      </c>
    </row>
    <row r="454" spans="6:6" x14ac:dyDescent="0.25">
      <c r="F454" s="20" t="str">
        <f t="shared" si="7"/>
        <v/>
      </c>
    </row>
    <row r="455" spans="6:6" x14ac:dyDescent="0.25">
      <c r="F455" s="20" t="str">
        <f t="shared" si="7"/>
        <v/>
      </c>
    </row>
    <row r="456" spans="6:6" x14ac:dyDescent="0.25">
      <c r="F456" s="20" t="str">
        <f t="shared" si="7"/>
        <v/>
      </c>
    </row>
    <row r="457" spans="6:6" x14ac:dyDescent="0.25">
      <c r="F457" s="20" t="str">
        <f t="shared" si="7"/>
        <v/>
      </c>
    </row>
    <row r="458" spans="6:6" x14ac:dyDescent="0.25">
      <c r="F458" s="20" t="str">
        <f t="shared" si="7"/>
        <v/>
      </c>
    </row>
    <row r="459" spans="6:6" x14ac:dyDescent="0.25">
      <c r="F459" s="20" t="str">
        <f t="shared" si="7"/>
        <v/>
      </c>
    </row>
    <row r="460" spans="6:6" x14ac:dyDescent="0.25">
      <c r="F460" s="20" t="str">
        <f t="shared" si="7"/>
        <v/>
      </c>
    </row>
    <row r="461" spans="6:6" x14ac:dyDescent="0.25">
      <c r="F461" s="20" t="str">
        <f t="shared" si="7"/>
        <v/>
      </c>
    </row>
    <row r="462" spans="6:6" x14ac:dyDescent="0.25">
      <c r="F462" s="20" t="str">
        <f t="shared" si="7"/>
        <v/>
      </c>
    </row>
    <row r="463" spans="6:6" x14ac:dyDescent="0.25">
      <c r="F463" s="20" t="str">
        <f t="shared" si="7"/>
        <v/>
      </c>
    </row>
    <row r="464" spans="6:6" x14ac:dyDescent="0.25">
      <c r="F464" s="20" t="str">
        <f t="shared" si="7"/>
        <v/>
      </c>
    </row>
    <row r="465" spans="6:6" x14ac:dyDescent="0.25">
      <c r="F465" s="20" t="str">
        <f t="shared" si="7"/>
        <v/>
      </c>
    </row>
    <row r="466" spans="6:6" x14ac:dyDescent="0.25">
      <c r="F466" s="20" t="str">
        <f t="shared" si="7"/>
        <v/>
      </c>
    </row>
    <row r="467" spans="6:6" x14ac:dyDescent="0.25">
      <c r="F467" s="20" t="str">
        <f t="shared" si="7"/>
        <v/>
      </c>
    </row>
    <row r="468" spans="6:6" x14ac:dyDescent="0.25">
      <c r="F468" s="20" t="str">
        <f t="shared" si="7"/>
        <v/>
      </c>
    </row>
    <row r="469" spans="6:6" x14ac:dyDescent="0.25">
      <c r="F469" s="20" t="str">
        <f t="shared" si="7"/>
        <v/>
      </c>
    </row>
    <row r="470" spans="6:6" x14ac:dyDescent="0.25">
      <c r="F470" s="20" t="str">
        <f t="shared" si="7"/>
        <v/>
      </c>
    </row>
    <row r="471" spans="6:6" x14ac:dyDescent="0.25">
      <c r="F471" s="20" t="str">
        <f t="shared" si="7"/>
        <v/>
      </c>
    </row>
    <row r="472" spans="6:6" x14ac:dyDescent="0.25">
      <c r="F472" s="20" t="str">
        <f t="shared" si="7"/>
        <v/>
      </c>
    </row>
    <row r="473" spans="6:6" x14ac:dyDescent="0.25">
      <c r="F473" s="20" t="str">
        <f t="shared" si="7"/>
        <v/>
      </c>
    </row>
    <row r="474" spans="6:6" x14ac:dyDescent="0.25">
      <c r="F474" s="20" t="str">
        <f t="shared" si="7"/>
        <v/>
      </c>
    </row>
    <row r="475" spans="6:6" x14ac:dyDescent="0.25">
      <c r="F475" s="20" t="str">
        <f t="shared" si="7"/>
        <v/>
      </c>
    </row>
    <row r="476" spans="6:6" x14ac:dyDescent="0.25">
      <c r="F476" s="20" t="str">
        <f t="shared" si="7"/>
        <v/>
      </c>
    </row>
    <row r="477" spans="6:6" x14ac:dyDescent="0.25">
      <c r="F477" s="20" t="str">
        <f t="shared" si="7"/>
        <v/>
      </c>
    </row>
    <row r="478" spans="6:6" x14ac:dyDescent="0.25">
      <c r="F478" s="20" t="str">
        <f t="shared" si="7"/>
        <v/>
      </c>
    </row>
    <row r="479" spans="6:6" x14ac:dyDescent="0.25">
      <c r="F479" s="20" t="str">
        <f t="shared" si="7"/>
        <v/>
      </c>
    </row>
    <row r="480" spans="6:6" x14ac:dyDescent="0.25">
      <c r="F480" s="20" t="str">
        <f t="shared" si="7"/>
        <v/>
      </c>
    </row>
    <row r="481" spans="6:6" x14ac:dyDescent="0.25">
      <c r="F481" s="20" t="str">
        <f t="shared" si="7"/>
        <v/>
      </c>
    </row>
    <row r="482" spans="6:6" x14ac:dyDescent="0.25">
      <c r="F482" s="20" t="str">
        <f t="shared" si="7"/>
        <v/>
      </c>
    </row>
    <row r="483" spans="6:6" x14ac:dyDescent="0.25">
      <c r="F483" s="20" t="str">
        <f t="shared" si="7"/>
        <v/>
      </c>
    </row>
    <row r="484" spans="6:6" x14ac:dyDescent="0.25">
      <c r="F484" s="20" t="str">
        <f t="shared" si="7"/>
        <v/>
      </c>
    </row>
    <row r="485" spans="6:6" x14ac:dyDescent="0.25">
      <c r="F485" s="20" t="str">
        <f t="shared" si="7"/>
        <v/>
      </c>
    </row>
    <row r="486" spans="6:6" x14ac:dyDescent="0.25">
      <c r="F486" s="20" t="str">
        <f t="shared" si="7"/>
        <v/>
      </c>
    </row>
    <row r="487" spans="6:6" x14ac:dyDescent="0.25">
      <c r="F487" s="20" t="str">
        <f t="shared" si="7"/>
        <v/>
      </c>
    </row>
    <row r="488" spans="6:6" x14ac:dyDescent="0.25">
      <c r="F488" s="20" t="str">
        <f t="shared" si="7"/>
        <v/>
      </c>
    </row>
    <row r="489" spans="6:6" x14ac:dyDescent="0.25">
      <c r="F489" s="20" t="str">
        <f t="shared" si="7"/>
        <v/>
      </c>
    </row>
    <row r="490" spans="6:6" x14ac:dyDescent="0.25">
      <c r="F490" s="20" t="str">
        <f t="shared" si="7"/>
        <v/>
      </c>
    </row>
    <row r="491" spans="6:6" x14ac:dyDescent="0.25">
      <c r="F491" s="20" t="str">
        <f t="shared" si="7"/>
        <v/>
      </c>
    </row>
    <row r="492" spans="6:6" x14ac:dyDescent="0.25">
      <c r="F492" s="20" t="str">
        <f t="shared" si="7"/>
        <v/>
      </c>
    </row>
    <row r="493" spans="6:6" x14ac:dyDescent="0.25">
      <c r="F493" s="20" t="str">
        <f t="shared" si="7"/>
        <v/>
      </c>
    </row>
    <row r="494" spans="6:6" x14ac:dyDescent="0.25">
      <c r="F494" s="20" t="str">
        <f t="shared" si="7"/>
        <v/>
      </c>
    </row>
    <row r="495" spans="6:6" x14ac:dyDescent="0.25">
      <c r="F495" s="20" t="str">
        <f t="shared" si="7"/>
        <v/>
      </c>
    </row>
    <row r="496" spans="6:6" x14ac:dyDescent="0.25">
      <c r="F496" s="20" t="str">
        <f t="shared" si="7"/>
        <v/>
      </c>
    </row>
    <row r="497" spans="6:6" x14ac:dyDescent="0.25">
      <c r="F497" s="20" t="str">
        <f t="shared" si="7"/>
        <v/>
      </c>
    </row>
    <row r="498" spans="6:6" x14ac:dyDescent="0.25">
      <c r="F498" s="20" t="str">
        <f t="shared" si="7"/>
        <v/>
      </c>
    </row>
    <row r="499" spans="6:6" x14ac:dyDescent="0.25">
      <c r="F499" s="20" t="str">
        <f t="shared" si="7"/>
        <v/>
      </c>
    </row>
    <row r="500" spans="6:6" x14ac:dyDescent="0.25">
      <c r="F500" s="20" t="str">
        <f t="shared" si="7"/>
        <v/>
      </c>
    </row>
    <row r="501" spans="6:6" x14ac:dyDescent="0.25">
      <c r="F501" s="20" t="str">
        <f t="shared" si="7"/>
        <v/>
      </c>
    </row>
    <row r="502" spans="6:6" x14ac:dyDescent="0.25">
      <c r="F502" s="20" t="str">
        <f t="shared" si="7"/>
        <v/>
      </c>
    </row>
    <row r="503" spans="6:6" x14ac:dyDescent="0.25">
      <c r="F503" s="20" t="str">
        <f t="shared" si="7"/>
        <v/>
      </c>
    </row>
    <row r="504" spans="6:6" x14ac:dyDescent="0.25">
      <c r="F504" s="20" t="str">
        <f t="shared" si="7"/>
        <v/>
      </c>
    </row>
    <row r="505" spans="6:6" x14ac:dyDescent="0.25">
      <c r="F505" s="20" t="str">
        <f t="shared" si="7"/>
        <v/>
      </c>
    </row>
    <row r="506" spans="6:6" x14ac:dyDescent="0.25">
      <c r="F506" s="20" t="str">
        <f t="shared" si="7"/>
        <v/>
      </c>
    </row>
    <row r="507" spans="6:6" x14ac:dyDescent="0.25">
      <c r="F507" s="20" t="str">
        <f t="shared" si="7"/>
        <v/>
      </c>
    </row>
    <row r="508" spans="6:6" x14ac:dyDescent="0.25">
      <c r="F508" s="20" t="str">
        <f t="shared" si="7"/>
        <v/>
      </c>
    </row>
    <row r="509" spans="6:6" x14ac:dyDescent="0.25">
      <c r="F509" s="20" t="str">
        <f t="shared" si="7"/>
        <v/>
      </c>
    </row>
    <row r="510" spans="6:6" x14ac:dyDescent="0.25">
      <c r="F510" s="20" t="str">
        <f t="shared" si="7"/>
        <v/>
      </c>
    </row>
    <row r="511" spans="6:6" x14ac:dyDescent="0.25">
      <c r="F511" s="20" t="str">
        <f t="shared" si="7"/>
        <v/>
      </c>
    </row>
    <row r="512" spans="6:6" x14ac:dyDescent="0.25">
      <c r="F512" s="20" t="str">
        <f t="shared" si="7"/>
        <v/>
      </c>
    </row>
    <row r="513" spans="6:6" x14ac:dyDescent="0.25">
      <c r="F513" s="20" t="str">
        <f t="shared" si="7"/>
        <v/>
      </c>
    </row>
    <row r="514" spans="6:6" x14ac:dyDescent="0.25">
      <c r="F514" s="20" t="str">
        <f t="shared" ref="F514:F562" si="8">IF(D514&lt;&gt;"",D514*E514,"")</f>
        <v/>
      </c>
    </row>
    <row r="515" spans="6:6" x14ac:dyDescent="0.25">
      <c r="F515" s="20" t="str">
        <f t="shared" si="8"/>
        <v/>
      </c>
    </row>
    <row r="516" spans="6:6" x14ac:dyDescent="0.25">
      <c r="F516" s="20" t="str">
        <f t="shared" si="8"/>
        <v/>
      </c>
    </row>
    <row r="517" spans="6:6" x14ac:dyDescent="0.25">
      <c r="F517" s="20" t="str">
        <f t="shared" si="8"/>
        <v/>
      </c>
    </row>
    <row r="518" spans="6:6" x14ac:dyDescent="0.25">
      <c r="F518" s="20" t="str">
        <f t="shared" si="8"/>
        <v/>
      </c>
    </row>
    <row r="519" spans="6:6" x14ac:dyDescent="0.25">
      <c r="F519" s="20" t="str">
        <f t="shared" si="8"/>
        <v/>
      </c>
    </row>
    <row r="520" spans="6:6" x14ac:dyDescent="0.25">
      <c r="F520" s="20" t="str">
        <f t="shared" si="8"/>
        <v/>
      </c>
    </row>
    <row r="521" spans="6:6" x14ac:dyDescent="0.25">
      <c r="F521" s="20" t="str">
        <f t="shared" si="8"/>
        <v/>
      </c>
    </row>
    <row r="522" spans="6:6" x14ac:dyDescent="0.25">
      <c r="F522" s="20" t="str">
        <f t="shared" si="8"/>
        <v/>
      </c>
    </row>
    <row r="523" spans="6:6" x14ac:dyDescent="0.25">
      <c r="F523" s="20" t="str">
        <f t="shared" si="8"/>
        <v/>
      </c>
    </row>
    <row r="524" spans="6:6" x14ac:dyDescent="0.25">
      <c r="F524" s="20" t="str">
        <f t="shared" si="8"/>
        <v/>
      </c>
    </row>
    <row r="525" spans="6:6" x14ac:dyDescent="0.25">
      <c r="F525" s="20" t="str">
        <f t="shared" si="8"/>
        <v/>
      </c>
    </row>
    <row r="526" spans="6:6" x14ac:dyDescent="0.25">
      <c r="F526" s="20" t="str">
        <f t="shared" si="8"/>
        <v/>
      </c>
    </row>
    <row r="527" spans="6:6" x14ac:dyDescent="0.25">
      <c r="F527" s="20" t="str">
        <f t="shared" si="8"/>
        <v/>
      </c>
    </row>
    <row r="528" spans="6:6" x14ac:dyDescent="0.25">
      <c r="F528" s="20" t="str">
        <f t="shared" si="8"/>
        <v/>
      </c>
    </row>
    <row r="529" spans="6:6" x14ac:dyDescent="0.25">
      <c r="F529" s="20" t="str">
        <f t="shared" si="8"/>
        <v/>
      </c>
    </row>
    <row r="530" spans="6:6" x14ac:dyDescent="0.25">
      <c r="F530" s="20" t="str">
        <f t="shared" si="8"/>
        <v/>
      </c>
    </row>
    <row r="531" spans="6:6" x14ac:dyDescent="0.25">
      <c r="F531" s="20" t="str">
        <f t="shared" si="8"/>
        <v/>
      </c>
    </row>
    <row r="532" spans="6:6" x14ac:dyDescent="0.25">
      <c r="F532" s="20" t="str">
        <f t="shared" si="8"/>
        <v/>
      </c>
    </row>
    <row r="533" spans="6:6" x14ac:dyDescent="0.25">
      <c r="F533" s="20" t="str">
        <f t="shared" si="8"/>
        <v/>
      </c>
    </row>
    <row r="534" spans="6:6" x14ac:dyDescent="0.25">
      <c r="F534" s="20" t="str">
        <f t="shared" si="8"/>
        <v/>
      </c>
    </row>
    <row r="535" spans="6:6" x14ac:dyDescent="0.25">
      <c r="F535" s="20" t="str">
        <f t="shared" si="8"/>
        <v/>
      </c>
    </row>
    <row r="536" spans="6:6" x14ac:dyDescent="0.25">
      <c r="F536" s="20" t="str">
        <f t="shared" si="8"/>
        <v/>
      </c>
    </row>
    <row r="537" spans="6:6" x14ac:dyDescent="0.25">
      <c r="F537" s="20" t="str">
        <f t="shared" si="8"/>
        <v/>
      </c>
    </row>
    <row r="538" spans="6:6" x14ac:dyDescent="0.25">
      <c r="F538" s="20" t="str">
        <f t="shared" si="8"/>
        <v/>
      </c>
    </row>
    <row r="539" spans="6:6" x14ac:dyDescent="0.25">
      <c r="F539" s="20" t="str">
        <f t="shared" si="8"/>
        <v/>
      </c>
    </row>
    <row r="540" spans="6:6" x14ac:dyDescent="0.25">
      <c r="F540" s="20" t="str">
        <f t="shared" si="8"/>
        <v/>
      </c>
    </row>
    <row r="541" spans="6:6" x14ac:dyDescent="0.25">
      <c r="F541" s="20" t="str">
        <f t="shared" si="8"/>
        <v/>
      </c>
    </row>
    <row r="542" spans="6:6" x14ac:dyDescent="0.25">
      <c r="F542" s="20" t="str">
        <f t="shared" si="8"/>
        <v/>
      </c>
    </row>
    <row r="543" spans="6:6" x14ac:dyDescent="0.25">
      <c r="F543" s="20" t="str">
        <f t="shared" si="8"/>
        <v/>
      </c>
    </row>
    <row r="544" spans="6:6" x14ac:dyDescent="0.25">
      <c r="F544" s="20" t="str">
        <f t="shared" si="8"/>
        <v/>
      </c>
    </row>
    <row r="545" spans="6:6" x14ac:dyDescent="0.25">
      <c r="F545" s="20" t="str">
        <f t="shared" si="8"/>
        <v/>
      </c>
    </row>
    <row r="546" spans="6:6" x14ac:dyDescent="0.25">
      <c r="F546" s="20" t="str">
        <f t="shared" si="8"/>
        <v/>
      </c>
    </row>
    <row r="547" spans="6:6" x14ac:dyDescent="0.25">
      <c r="F547" s="20" t="str">
        <f t="shared" si="8"/>
        <v/>
      </c>
    </row>
    <row r="548" spans="6:6" x14ac:dyDescent="0.25">
      <c r="F548" s="20" t="str">
        <f t="shared" si="8"/>
        <v/>
      </c>
    </row>
    <row r="549" spans="6:6" x14ac:dyDescent="0.25">
      <c r="F549" s="20" t="str">
        <f t="shared" si="8"/>
        <v/>
      </c>
    </row>
    <row r="550" spans="6:6" x14ac:dyDescent="0.25">
      <c r="F550" s="20" t="str">
        <f t="shared" si="8"/>
        <v/>
      </c>
    </row>
    <row r="551" spans="6:6" x14ac:dyDescent="0.25">
      <c r="F551" s="20" t="str">
        <f t="shared" si="8"/>
        <v/>
      </c>
    </row>
    <row r="552" spans="6:6" x14ac:dyDescent="0.25">
      <c r="F552" s="20" t="str">
        <f t="shared" si="8"/>
        <v/>
      </c>
    </row>
    <row r="553" spans="6:6" x14ac:dyDescent="0.25">
      <c r="F553" s="20" t="str">
        <f t="shared" si="8"/>
        <v/>
      </c>
    </row>
    <row r="554" spans="6:6" x14ac:dyDescent="0.25">
      <c r="F554" s="20" t="str">
        <f t="shared" si="8"/>
        <v/>
      </c>
    </row>
    <row r="555" spans="6:6" x14ac:dyDescent="0.25">
      <c r="F555" s="20" t="str">
        <f t="shared" si="8"/>
        <v/>
      </c>
    </row>
    <row r="556" spans="6:6" x14ac:dyDescent="0.25">
      <c r="F556" s="20" t="str">
        <f t="shared" si="8"/>
        <v/>
      </c>
    </row>
    <row r="557" spans="6:6" x14ac:dyDescent="0.25">
      <c r="F557" s="20" t="str">
        <f t="shared" si="8"/>
        <v/>
      </c>
    </row>
    <row r="558" spans="6:6" x14ac:dyDescent="0.25">
      <c r="F558" s="20" t="str">
        <f t="shared" si="8"/>
        <v/>
      </c>
    </row>
    <row r="559" spans="6:6" x14ac:dyDescent="0.25">
      <c r="F559" s="20" t="str">
        <f t="shared" si="8"/>
        <v/>
      </c>
    </row>
    <row r="560" spans="6:6" x14ac:dyDescent="0.25">
      <c r="F560" s="20" t="str">
        <f t="shared" si="8"/>
        <v/>
      </c>
    </row>
    <row r="561" spans="6:6" x14ac:dyDescent="0.25">
      <c r="F561" s="20" t="str">
        <f t="shared" si="8"/>
        <v/>
      </c>
    </row>
    <row r="562" spans="6:6" x14ac:dyDescent="0.25">
      <c r="F562" s="20" t="str">
        <f t="shared" si="8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Back_to_main">
                <anchor moveWithCells="1" sizeWithCells="1">
                  <from>
                    <xdr:col>1</xdr:col>
                    <xdr:colOff>76200</xdr:colOff>
                    <xdr:row>0</xdr:row>
                    <xdr:rowOff>76200</xdr:rowOff>
                  </from>
                  <to>
                    <xdr:col>2</xdr:col>
                    <xdr:colOff>266700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</vt:lpstr>
      <vt:lpstr>Vendors</vt:lpstr>
      <vt:lpstr>Customers</vt:lpstr>
      <vt:lpstr>Employees</vt:lpstr>
      <vt:lpstr>Inventory</vt:lpstr>
      <vt:lpstr>Balance Sheet &amp; Income Statment</vt:lpstr>
      <vt:lpstr>Purchase Order History </vt:lpstr>
      <vt:lpstr>Payroll History</vt:lpstr>
      <vt:lpstr>Invoice History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 Zeinieh</dc:creator>
  <cp:lastModifiedBy>George Zeinieh</cp:lastModifiedBy>
  <dcterms:created xsi:type="dcterms:W3CDTF">2016-04-10T20:55:57Z</dcterms:created>
  <dcterms:modified xsi:type="dcterms:W3CDTF">2016-05-23T08:43:03Z</dcterms:modified>
</cp:coreProperties>
</file>